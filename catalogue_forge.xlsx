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⚔ Armes" sheetId="1" r:id="rId5"/>
    <sheet state="visible" name="🛡 Armures" sheetId="2" r:id="rId6"/>
    <sheet state="visible" name="💰 Prix matériaux" sheetId="3" r:id="rId7"/>
  </sheets>
  <definedNames/>
  <calcPr/>
</workbook>
</file>

<file path=xl/sharedStrings.xml><?xml version="1.0" encoding="utf-8"?>
<sst xmlns="http://schemas.openxmlformats.org/spreadsheetml/2006/main" count="760" uniqueCount="242">
  <si>
    <t>⚔   FORGERON DE SOLITUDE  —  Catalogue des Armes</t>
  </si>
  <si>
    <t>Catégorie</t>
  </si>
  <si>
    <t>Arme</t>
  </si>
  <si>
    <t>M.O.</t>
  </si>
  <si>
    <t>Fer</t>
  </si>
  <si>
    <t>Acier</t>
  </si>
  <si>
    <t>Orichalque</t>
  </si>
  <si>
    <t>Vif-argent</t>
  </si>
  <si>
    <t>Métal dwemer</t>
  </si>
  <si>
    <t>Pierre de lune</t>
  </si>
  <si>
    <t>Corindon</t>
  </si>
  <si>
    <t>Petit bois</t>
  </si>
  <si>
    <t>Cuir</t>
  </si>
  <si>
    <t>Bande cuir</t>
  </si>
  <si>
    <t>Or</t>
  </si>
  <si>
    <t>Malachite</t>
  </si>
  <si>
    <t>Ébonite</t>
  </si>
  <si>
    <t>Coût mat.</t>
  </si>
  <si>
    <t>⚡ TOTAL</t>
  </si>
  <si>
    <t>FER</t>
  </si>
  <si>
    <t>Arc</t>
  </si>
  <si>
    <t>Dague</t>
  </si>
  <si>
    <t>Espadon</t>
  </si>
  <si>
    <t>Flèche</t>
  </si>
  <si>
    <t>Hache d'arme</t>
  </si>
  <si>
    <t>Hache</t>
  </si>
  <si>
    <t>Marteau de guerre</t>
  </si>
  <si>
    <t>Masse</t>
  </si>
  <si>
    <t>Épée</t>
  </si>
  <si>
    <t>ACIER</t>
  </si>
  <si>
    <t>ALTMER</t>
  </si>
  <si>
    <t>Altmer</t>
  </si>
  <si>
    <t>BOSMER</t>
  </si>
  <si>
    <t>Bosmer</t>
  </si>
  <si>
    <t>COMMUNE</t>
  </si>
  <si>
    <t>Commune</t>
  </si>
  <si>
    <t>DWEMER</t>
  </si>
  <si>
    <t>Dwemer</t>
  </si>
  <si>
    <t>ORC</t>
  </si>
  <si>
    <t>Orc</t>
  </si>
  <si>
    <t>ÉBONITE</t>
  </si>
  <si>
    <t>Arc d'ébonite</t>
  </si>
  <si>
    <t>Dague d'ébonite</t>
  </si>
  <si>
    <t>Épée d'ébonite</t>
  </si>
  <si>
    <t>Hache d'ébonite</t>
  </si>
  <si>
    <t>Masse d'ébonite</t>
  </si>
  <si>
    <t>Espadon d'ébonite</t>
  </si>
  <si>
    <t>Hache d'armes d'ébonite</t>
  </si>
  <si>
    <t>Marteau d'ébonite</t>
  </si>
  <si>
    <t>Flèche d'ébonite</t>
  </si>
  <si>
    <t>ÉBONITE DORÉE</t>
  </si>
  <si>
    <t>Ébonite dorée</t>
  </si>
  <si>
    <t>Gilded Ebony Dagger</t>
  </si>
  <si>
    <t>Gilded Ebony Sword</t>
  </si>
  <si>
    <t>Gilded Ebony War Axe</t>
  </si>
  <si>
    <t>Gilded Ebony Mace</t>
  </si>
  <si>
    <t>Gilded Ebony Greatsword</t>
  </si>
  <si>
    <t>Gilded Ebony Battleaxe</t>
  </si>
  <si>
    <t>VERRE</t>
  </si>
  <si>
    <t>Verre</t>
  </si>
  <si>
    <t>Arc de verre</t>
  </si>
  <si>
    <t>Dague de verre</t>
  </si>
  <si>
    <t>Épée de verre</t>
  </si>
  <si>
    <t>Hache de verre</t>
  </si>
  <si>
    <t>Masse de verre</t>
  </si>
  <si>
    <t>Espadon de verre</t>
  </si>
  <si>
    <t>Hache d'armes de verre</t>
  </si>
  <si>
    <t>Marteau de verre</t>
  </si>
  <si>
    <t>Flèche de verre</t>
  </si>
  <si>
    <t>🛡   FORGERON DE SOLITUDE  —  Pièces d'Armure</t>
  </si>
  <si>
    <t>Pièce</t>
  </si>
  <si>
    <t>Type</t>
  </si>
  <si>
    <t>COMMON LÉGER</t>
  </si>
  <si>
    <t>Common Léger</t>
  </si>
  <si>
    <t>Armure — torse (5 var.)</t>
  </si>
  <si>
    <t>Légère</t>
  </si>
  <si>
    <t>Gants (2 var.)</t>
  </si>
  <si>
    <t>Bottes (var.)</t>
  </si>
  <si>
    <t>COMMON LOURD</t>
  </si>
  <si>
    <t>Common Lourd</t>
  </si>
  <si>
    <t>Armure de mailles (2 var.)</t>
  </si>
  <si>
    <t>Lourde</t>
  </si>
  <si>
    <t>FOURRURE</t>
  </si>
  <si>
    <t>Fourrure</t>
  </si>
  <si>
    <t>Armure</t>
  </si>
  <si>
    <t>Bottes</t>
  </si>
  <si>
    <t>Casque</t>
  </si>
  <si>
    <t>Gantelets</t>
  </si>
  <si>
    <t>Bouclier</t>
  </si>
  <si>
    <t>Collier</t>
  </si>
  <si>
    <t>Large Collier</t>
  </si>
  <si>
    <t>Shawl</t>
  </si>
  <si>
    <t>Skirt</t>
  </si>
  <si>
    <t>HUNTER'S FUR</t>
  </si>
  <si>
    <t>Hunter's Fur</t>
  </si>
  <si>
    <t>Coat</t>
  </si>
  <si>
    <t>Hat</t>
  </si>
  <si>
    <t>Gloves</t>
  </si>
  <si>
    <t>NORTHERN FUR</t>
  </si>
  <si>
    <t>Northern Fur</t>
  </si>
  <si>
    <t>PEAU</t>
  </si>
  <si>
    <t>Peau</t>
  </si>
  <si>
    <t>NORTHERN HIDE</t>
  </si>
  <si>
    <t>Northern Hide</t>
  </si>
  <si>
    <t>ROGUE'S HIDE</t>
  </si>
  <si>
    <t>Rogue's Hide</t>
  </si>
  <si>
    <t>Gants</t>
  </si>
  <si>
    <t>Hood</t>
  </si>
  <si>
    <t>Hood Lowered</t>
  </si>
  <si>
    <t>CUIR</t>
  </si>
  <si>
    <t>NORTHERN LEATHER</t>
  </si>
  <si>
    <t>Northern Leather</t>
  </si>
  <si>
    <t>RUGGED LEATHER</t>
  </si>
  <si>
    <t>Rugged Leather</t>
  </si>
  <si>
    <t>ARMURE CLOUTÉE</t>
  </si>
  <si>
    <t>Armure cloutée</t>
  </si>
  <si>
    <t>NORTHERN STUDDED</t>
  </si>
  <si>
    <t>Northern Studded</t>
  </si>
  <si>
    <t>NORTHERN IRON</t>
  </si>
  <si>
    <t>Northern Iron</t>
  </si>
  <si>
    <t>RUGGED IRON</t>
  </si>
  <si>
    <t>Rugged Iron</t>
  </si>
  <si>
    <t>BANDED IRON</t>
  </si>
  <si>
    <t>Banded Iron</t>
  </si>
  <si>
    <t>BANDED NORTHERN IRON</t>
  </si>
  <si>
    <t>Banded Northern Iron</t>
  </si>
  <si>
    <t>BANDED RUGGED IRON</t>
  </si>
  <si>
    <t>Banded Rugged Iron</t>
  </si>
  <si>
    <t>BANDED RUNIC IRON</t>
  </si>
  <si>
    <t>Banded Runic Iron</t>
  </si>
  <si>
    <t>BANDED WROUGHT IRON</t>
  </si>
  <si>
    <t>Banded Wrought Iron</t>
  </si>
  <si>
    <t>WROUGHT IRON</t>
  </si>
  <si>
    <t>Wrought Iron</t>
  </si>
  <si>
    <t>RUNIC IRON</t>
  </si>
  <si>
    <t>Runic Iron</t>
  </si>
  <si>
    <t>Armure (4 var.)</t>
  </si>
  <si>
    <t>Casque (2 var.)</t>
  </si>
  <si>
    <t>Bottes (5 var.)</t>
  </si>
  <si>
    <t>Gantelets (6 var.)</t>
  </si>
  <si>
    <t>Bouclier (2 var.)</t>
  </si>
  <si>
    <t>JERALL DWARVEN</t>
  </si>
  <si>
    <t>Jerall Dwarven</t>
  </si>
  <si>
    <t>VELOTHI DWARVEN</t>
  </si>
  <si>
    <t>Velothi Dwarven</t>
  </si>
  <si>
    <t>ORC LOURDE</t>
  </si>
  <si>
    <t>Orc Lourde</t>
  </si>
  <si>
    <t>ORCISH HIDE</t>
  </si>
  <si>
    <t>Orcish Hide</t>
  </si>
  <si>
    <t>ORCISH STUDDED</t>
  </si>
  <si>
    <t>Orcish Studded</t>
  </si>
  <si>
    <t>ÉBONITE - LOURDE</t>
  </si>
  <si>
    <t>Ébonite - lourde</t>
  </si>
  <si>
    <t>Armure d'ébonite</t>
  </si>
  <si>
    <t>Noble Ebony Armor</t>
  </si>
  <si>
    <t>Gilded Ebony Armor</t>
  </si>
  <si>
    <t>Gilded Noble Ebony Armor</t>
  </si>
  <si>
    <t>Casque d'ébonite</t>
  </si>
  <si>
    <t>Noble Ebony Helmet</t>
  </si>
  <si>
    <t>Gilded Ebony Helmet</t>
  </si>
  <si>
    <t>Gilded Noble Ebony Helmet</t>
  </si>
  <si>
    <t>Gantelets d'ébonite</t>
  </si>
  <si>
    <t>Noble Ebony Gauntlets</t>
  </si>
  <si>
    <t>Gilded Ebony Gauntlets</t>
  </si>
  <si>
    <t>Gilded Noble Ebony Gauntlets</t>
  </si>
  <si>
    <t>Bottes d'ébonite</t>
  </si>
  <si>
    <t>Noble Ebony Boots</t>
  </si>
  <si>
    <t>Gilded Ebony Boots</t>
  </si>
  <si>
    <t>Gilded Noble Ebony Boots</t>
  </si>
  <si>
    <t>Bouclier d'ébonite</t>
  </si>
  <si>
    <t>Noble Ebony Shield</t>
  </si>
  <si>
    <t>Gilded Ebony Shield</t>
  </si>
  <si>
    <t>Gilded Noble Ebony Shield</t>
  </si>
  <si>
    <t>Verre - légère</t>
  </si>
  <si>
    <t>Armure de verre</t>
  </si>
  <si>
    <t>Casque de verre</t>
  </si>
  <si>
    <t>Gantelets de verre</t>
  </si>
  <si>
    <t>Bottes de verre</t>
  </si>
  <si>
    <t>Bouclier de verre</t>
  </si>
  <si>
    <t>DUNMER - VVARDENFELL GLASS</t>
  </si>
  <si>
    <t>Dunmer - Vvardenfell Glass</t>
  </si>
  <si>
    <t>Vvardenfell Glass Armor</t>
  </si>
  <si>
    <t>Vvardenfell Glass Helmet</t>
  </si>
  <si>
    <t>Vvardenfell Glass Gauntlets</t>
  </si>
  <si>
    <t>Vvardenfell Glass Boots</t>
  </si>
  <si>
    <t>Vvardenfell Glass Shield</t>
  </si>
  <si>
    <t>BOSMER - WILD HUNT</t>
  </si>
  <si>
    <t>Bosmer - Wild Hunt</t>
  </si>
  <si>
    <t>Wild Hunt Armor</t>
  </si>
  <si>
    <t>Wild Hunt Helmet</t>
  </si>
  <si>
    <t>Wild Hunt Gloves</t>
  </si>
  <si>
    <t>Wild Hunt Boots</t>
  </si>
  <si>
    <t>BOSMER - LÉGER</t>
  </si>
  <si>
    <t>Bosmer - léger</t>
  </si>
  <si>
    <t>Bosmer Armor</t>
  </si>
  <si>
    <t>Bosmer Hood</t>
  </si>
  <si>
    <t>Bosmer Gloves</t>
  </si>
  <si>
    <t>Bosmer Boots</t>
  </si>
  <si>
    <t>BOSMER - ACCESSOIRES</t>
  </si>
  <si>
    <t>Bosmer - accessoires</t>
  </si>
  <si>
    <t>Bosmer Cape</t>
  </si>
  <si>
    <t>Accessoire</t>
  </si>
  <si>
    <t>Bosmer Shoulder Cape</t>
  </si>
  <si>
    <t>Bosmer Mask</t>
  </si>
  <si>
    <t>BOSMER PLATE - LOURD</t>
  </si>
  <si>
    <t>Bosmer Plate - lourd</t>
  </si>
  <si>
    <t>Bosmer Plate Armor</t>
  </si>
  <si>
    <t>Bosmer Plate Helmet</t>
  </si>
  <si>
    <t>Bosmer Plate Gauntlets</t>
  </si>
  <si>
    <t>Bosmer Plate Boots</t>
  </si>
  <si>
    <t>ALTMER - ELFIQUE</t>
  </si>
  <si>
    <t>Altmer - elfique</t>
  </si>
  <si>
    <t>Armure elfique</t>
  </si>
  <si>
    <t>Casque elfique</t>
  </si>
  <si>
    <t>Gantelets elfiques</t>
  </si>
  <si>
    <t>Bottes elfiques</t>
  </si>
  <si>
    <t>Bouclier elfique</t>
  </si>
  <si>
    <t>ALTMER - DORÉE</t>
  </si>
  <si>
    <t>Altmer - dorée</t>
  </si>
  <si>
    <t>Armure dorée</t>
  </si>
  <si>
    <t>Matériau</t>
  </si>
  <si>
    <t>Prix (sep.)</t>
  </si>
  <si>
    <t>Lingot de fer</t>
  </si>
  <si>
    <t>Métaux</t>
  </si>
  <si>
    <t>Lingot d'acier</t>
  </si>
  <si>
    <t>Lingot d'orichalque</t>
  </si>
  <si>
    <t>Lingot de vif-argent</t>
  </si>
  <si>
    <t>Lingot de métal dwemer</t>
  </si>
  <si>
    <t>Pierre de lune raffinée</t>
  </si>
  <si>
    <t>Minerais raffinées</t>
  </si>
  <si>
    <t>Corindon raffiné</t>
  </si>
  <si>
    <t>Matières naturelles</t>
  </si>
  <si>
    <t>Bande de cuir</t>
  </si>
  <si>
    <t>Lingot d'or</t>
  </si>
  <si>
    <t>Lingot d'argent</t>
  </si>
  <si>
    <t>Malachite raffinée</t>
  </si>
  <si>
    <t>Ébonite raffinée</t>
  </si>
  <si>
    <t>Charbon pauvre</t>
  </si>
  <si>
    <t>Combustibles</t>
  </si>
  <si>
    <t>Charbon commun</t>
  </si>
  <si>
    <t>Briquette</t>
  </si>
  <si>
    <t>Coke coal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</si>
</sst>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7">
    <font>
      <sz val="11.0"/>
      <color theme="1"/>
      <name val="Calibri"/>
      <scheme val="minor"/>
    </font>
    <font>
      <b/>
      <sz val="14.0"/>
      <color rgb="FFFFD700"/>
      <name val="Arial"/>
    </font>
    <font/>
    <font>
      <b/>
      <sz val="9.0"/>
      <color rgb="FFFFD700"/>
      <name val="Arial"/>
    </font>
    <font>
      <b/>
      <sz val="10.0"/>
      <color rgb="FFFFD700"/>
      <name val="Arial"/>
    </font>
    <font>
      <b/>
      <sz val="9.0"/>
      <color rgb="FF8B9DC3"/>
      <name val="Arial"/>
    </font>
    <font>
      <sz val="9.0"/>
      <color rgb="FF8B9DC3"/>
      <name val="Arial"/>
    </font>
    <font>
      <sz val="9.0"/>
      <color rgb="FFD4C8A8"/>
      <name val="Arial"/>
    </font>
    <font>
      <b/>
      <sz val="9.0"/>
      <color rgb="FFE8C060"/>
      <name val="Arial"/>
    </font>
    <font>
      <b/>
      <sz val="9.0"/>
      <color rgb="FF4C9BE8"/>
      <name val="Arial"/>
    </font>
    <font>
      <sz val="9.0"/>
      <color rgb="FF4C9BE8"/>
      <name val="Arial"/>
    </font>
    <font>
      <b/>
      <sz val="9.0"/>
      <color rgb="FF6BBF6B"/>
      <name val="Arial"/>
    </font>
    <font>
      <sz val="9.0"/>
      <color rgb="FF6BBF6B"/>
      <name val="Arial"/>
    </font>
    <font>
      <b/>
      <sz val="9.0"/>
      <color rgb="FF88C057"/>
      <name val="Arial"/>
    </font>
    <font>
      <sz val="9.0"/>
      <color rgb="FF88C057"/>
      <name val="Arial"/>
    </font>
    <font>
      <b/>
      <sz val="9.0"/>
      <color rgb="FFD4A017"/>
      <name val="Arial"/>
    </font>
    <font>
      <sz val="9.0"/>
      <color rgb="FFD4A017"/>
      <name val="Arial"/>
    </font>
    <font>
      <b/>
      <sz val="9.0"/>
      <color rgb="FF4CAF50"/>
      <name val="Arial"/>
    </font>
    <font>
      <sz val="9.0"/>
      <color rgb="FF4CAF50"/>
      <name val="Arial"/>
    </font>
    <font>
      <b/>
      <sz val="9.0"/>
      <color rgb="FF9B59B6"/>
      <name val="Arial"/>
    </font>
    <font>
      <sz val="9.0"/>
      <color rgb="FF9B59B6"/>
      <name val="Arial"/>
    </font>
    <font>
      <b/>
      <sz val="9.0"/>
      <color rgb="FFE0A030"/>
      <name val="Arial"/>
    </font>
    <font>
      <sz val="9.0"/>
      <color rgb="FFE0A030"/>
      <name val="Arial"/>
    </font>
    <font>
      <b/>
      <sz val="9.0"/>
      <color rgb="FF2ECC71"/>
      <name val="Arial"/>
    </font>
    <font>
      <sz val="9.0"/>
      <color rgb="FF2ECC71"/>
      <name val="Arial"/>
    </font>
    <font>
      <sz val="11.0"/>
      <color theme="1"/>
      <name val="Calibri"/>
    </font>
    <font>
      <b/>
      <sz val="9.0"/>
      <color rgb="FFF0A030"/>
      <name val="Arial"/>
    </font>
    <font>
      <sz val="9.0"/>
      <color rgb="FFF0A030"/>
      <name val="Arial"/>
    </font>
    <font>
      <b/>
      <sz val="9.0"/>
      <color rgb="FFCC4040"/>
      <name val="Arial"/>
    </font>
    <font>
      <sz val="9.0"/>
      <color rgb="FFCC4040"/>
      <name val="Arial"/>
    </font>
    <font>
      <b/>
      <sz val="9.0"/>
      <color rgb="FFC8A060"/>
      <name val="Arial"/>
    </font>
    <font>
      <sz val="9.0"/>
      <color rgb="FFC8A060"/>
      <name val="Arial"/>
    </font>
    <font>
      <b/>
      <sz val="9.0"/>
      <color rgb="FFB8945A"/>
      <name val="Arial"/>
    </font>
    <font>
      <sz val="9.0"/>
      <color rgb="FFB8945A"/>
      <name val="Arial"/>
    </font>
    <font>
      <b/>
      <sz val="9.0"/>
      <color rgb="FFC0A060"/>
      <name val="Arial"/>
    </font>
    <font>
      <sz val="9.0"/>
      <color rgb="FFC0A060"/>
      <name val="Arial"/>
    </font>
    <font>
      <b/>
      <sz val="9.0"/>
      <color rgb="FFB09050"/>
      <name val="Arial"/>
    </font>
    <font>
      <sz val="9.0"/>
      <color rgb="FFB09050"/>
      <name val="Arial"/>
    </font>
    <font>
      <b/>
      <sz val="9.0"/>
      <color rgb="FFB09060"/>
      <name val="Arial"/>
    </font>
    <font>
      <sz val="9.0"/>
      <color rgb="FFB09060"/>
      <name val="Arial"/>
    </font>
    <font>
      <b/>
      <sz val="9.0"/>
      <color rgb="FFB88050"/>
      <name val="Arial"/>
    </font>
    <font>
      <sz val="9.0"/>
      <color rgb="FFB88050"/>
      <name val="Arial"/>
    </font>
    <font>
      <b/>
      <sz val="9.0"/>
      <color rgb="FFC87840"/>
      <name val="Arial"/>
    </font>
    <font>
      <sz val="9.0"/>
      <color rgb="FFC87840"/>
      <name val="Arial"/>
    </font>
    <font>
      <b/>
      <sz val="9.0"/>
      <color rgb="FFB87840"/>
      <name val="Arial"/>
    </font>
    <font>
      <sz val="9.0"/>
      <color rgb="FFB87840"/>
      <name val="Arial"/>
    </font>
    <font>
      <b/>
      <sz val="9.0"/>
      <color rgb="FFB07030"/>
      <name val="Arial"/>
    </font>
    <font>
      <sz val="9.0"/>
      <color rgb="FFB07030"/>
      <name val="Arial"/>
    </font>
    <font>
      <b/>
      <sz val="9.0"/>
      <color rgb="FF7090C0"/>
      <name val="Arial"/>
    </font>
    <font>
      <sz val="9.0"/>
      <color rgb="FF7090C0"/>
      <name val="Arial"/>
    </font>
    <font>
      <b/>
      <sz val="9.0"/>
      <color rgb="FF6080B0"/>
      <name val="Arial"/>
    </font>
    <font>
      <sz val="9.0"/>
      <color rgb="FF6080B0"/>
      <name val="Arial"/>
    </font>
    <font>
      <b/>
      <sz val="9.0"/>
      <color rgb="FF8090B8"/>
      <name val="Arial"/>
    </font>
    <font>
      <sz val="9.0"/>
      <color rgb="FF8090B8"/>
      <name val="Arial"/>
    </font>
    <font>
      <b/>
      <sz val="9.0"/>
      <color rgb="FF7880A0"/>
      <name val="Arial"/>
    </font>
    <font>
      <sz val="9.0"/>
      <color rgb="FF7880A0"/>
      <name val="Arial"/>
    </font>
    <font>
      <b/>
      <sz val="9.0"/>
      <color rgb="FF9090C0"/>
      <name val="Arial"/>
    </font>
    <font>
      <sz val="9.0"/>
      <color rgb="FF9090C0"/>
      <name val="Arial"/>
    </font>
    <font>
      <b/>
      <sz val="9.0"/>
      <color rgb="FF8888B8"/>
      <name val="Arial"/>
    </font>
    <font>
      <sz val="9.0"/>
      <color rgb="FF8888B8"/>
      <name val="Arial"/>
    </font>
    <font>
      <b/>
      <sz val="9.0"/>
      <color rgb="FF8080A8"/>
      <name val="Arial"/>
    </font>
    <font>
      <sz val="9.0"/>
      <color rgb="FF8080A8"/>
      <name val="Arial"/>
    </font>
    <font>
      <b/>
      <sz val="9.0"/>
      <color rgb="FF9898C8"/>
      <name val="Arial"/>
    </font>
    <font>
      <sz val="9.0"/>
      <color rgb="FF9898C8"/>
      <name val="Arial"/>
    </font>
    <font>
      <b/>
      <sz val="9.0"/>
      <color rgb="FF8080B0"/>
      <name val="Arial"/>
    </font>
    <font>
      <sz val="9.0"/>
      <color rgb="FF8080B0"/>
      <name val="Arial"/>
    </font>
    <font>
      <b/>
      <sz val="9.0"/>
      <color rgb="FF7880A8"/>
      <name val="Arial"/>
    </font>
    <font>
      <sz val="9.0"/>
      <color rgb="FF7880A8"/>
      <name val="Arial"/>
    </font>
    <font>
      <b/>
      <sz val="9.0"/>
      <color rgb="FF8898C8"/>
      <name val="Arial"/>
    </font>
    <font>
      <sz val="9.0"/>
      <color rgb="FF8898C8"/>
      <name val="Arial"/>
    </font>
    <font>
      <b/>
      <sz val="9.0"/>
      <color rgb="FFC89010"/>
      <name val="Arial"/>
    </font>
    <font>
      <sz val="9.0"/>
      <color rgb="FFC89010"/>
      <name val="Arial"/>
    </font>
    <font>
      <b/>
      <sz val="9.0"/>
      <color rgb="FFD09818"/>
      <name val="Arial"/>
    </font>
    <font>
      <sz val="9.0"/>
      <color rgb="FFD09818"/>
      <name val="Arial"/>
    </font>
    <font>
      <b/>
      <sz val="9.0"/>
      <color rgb="FF5BBF5B"/>
      <name val="Arial"/>
    </font>
    <font>
      <sz val="9.0"/>
      <color rgb="FF5BBF5B"/>
      <name val="Arial"/>
    </font>
    <font>
      <b/>
      <sz val="9.0"/>
      <color rgb="FF55B055"/>
      <name val="Arial"/>
    </font>
    <font>
      <sz val="9.0"/>
      <color rgb="FF55B055"/>
      <name val="Arial"/>
    </font>
    <font>
      <b/>
      <sz val="9.0"/>
      <color rgb="FF30D080"/>
      <name val="Arial"/>
    </font>
    <font>
      <sz val="9.0"/>
      <color rgb="FF30D080"/>
      <name val="Arial"/>
    </font>
    <font>
      <b/>
      <sz val="9.0"/>
      <color rgb="FF60C060"/>
      <name val="Arial"/>
    </font>
    <font>
      <sz val="9.0"/>
      <color rgb="FF60C060"/>
      <name val="Arial"/>
    </font>
    <font>
      <b/>
      <sz val="9.0"/>
      <color rgb="FF80C050"/>
      <name val="Arial"/>
    </font>
    <font>
      <sz val="9.0"/>
      <color rgb="FF80C050"/>
      <name val="Arial"/>
    </font>
    <font>
      <b/>
      <sz val="9.0"/>
      <color rgb="FF90C050"/>
      <name val="Arial"/>
    </font>
    <font>
      <sz val="9.0"/>
      <color rgb="FF90C050"/>
      <name val="Arial"/>
    </font>
    <font>
      <b/>
      <sz val="9.0"/>
      <color rgb="FF90C060"/>
      <name val="Arial"/>
    </font>
    <font>
      <sz val="9.0"/>
      <color rgb="FF90C060"/>
      <name val="Arial"/>
    </font>
    <font>
      <b/>
      <sz val="9.0"/>
      <color rgb="FFD4B030"/>
      <name val="Arial"/>
    </font>
    <font>
      <sz val="9.0"/>
      <color rgb="FFD4B030"/>
      <name val="Arial"/>
    </font>
    <font>
      <b/>
      <sz val="13.0"/>
      <color rgb="FFFFD700"/>
      <name val="Arial"/>
    </font>
    <font>
      <b/>
      <sz val="9.0"/>
      <color rgb="FF7AB0E8"/>
      <name val="Arial"/>
    </font>
    <font>
      <sz val="9.0"/>
      <color rgb="FF7AB0E8"/>
      <name val="Arial"/>
    </font>
    <font>
      <b/>
      <sz val="9.0"/>
      <color rgb="FF6EC86E"/>
      <name val="Arial"/>
    </font>
    <font>
      <sz val="9.0"/>
      <color rgb="FF6EC86E"/>
      <name val="Arial"/>
    </font>
    <font>
      <b/>
      <sz val="9.0"/>
      <color rgb="FFE89050"/>
      <name val="Arial"/>
    </font>
    <font>
      <sz val="9.0"/>
      <color rgb="FFE8905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0D0A08"/>
        <bgColor rgb="FF0D0A08"/>
      </patternFill>
    </fill>
    <fill>
      <patternFill patternType="solid">
        <fgColor rgb="FF1A1208"/>
        <bgColor rgb="FF1A1208"/>
      </patternFill>
    </fill>
    <fill>
      <patternFill patternType="solid">
        <fgColor rgb="FF1A1A2E"/>
        <bgColor rgb="FF1A1A2E"/>
      </patternFill>
    </fill>
    <fill>
      <patternFill patternType="solid">
        <fgColor rgb="FF110E08"/>
        <bgColor rgb="FF110E08"/>
      </patternFill>
    </fill>
    <fill>
      <patternFill patternType="solid">
        <fgColor rgb="FF0D1B30"/>
        <bgColor rgb="FF0D1B30"/>
      </patternFill>
    </fill>
    <fill>
      <patternFill patternType="solid">
        <fgColor rgb="FF1A2A1A"/>
        <bgColor rgb="FF1A2A1A"/>
      </patternFill>
    </fill>
    <fill>
      <patternFill patternType="solid">
        <fgColor rgb="FF1A2D0A"/>
        <bgColor rgb="FF1A2D0A"/>
      </patternFill>
    </fill>
    <fill>
      <patternFill patternType="solid">
        <fgColor rgb="FF2A1F00"/>
        <bgColor rgb="FF2A1F00"/>
      </patternFill>
    </fill>
    <fill>
      <patternFill patternType="solid">
        <fgColor rgb="FF0F290F"/>
        <bgColor rgb="FF0F290F"/>
      </patternFill>
    </fill>
    <fill>
      <patternFill patternType="solid">
        <fgColor rgb="FF1A0030"/>
        <bgColor rgb="FF1A0030"/>
      </patternFill>
    </fill>
    <fill>
      <patternFill patternType="solid">
        <fgColor rgb="FF2A1500"/>
        <bgColor rgb="FF2A1500"/>
      </patternFill>
    </fill>
    <fill>
      <patternFill patternType="solid">
        <fgColor rgb="FF003322"/>
        <bgColor rgb="FF003322"/>
      </patternFill>
    </fill>
    <fill>
      <patternFill patternType="solid">
        <fgColor rgb="FF2A1A00"/>
        <bgColor rgb="FF2A1A00"/>
      </patternFill>
    </fill>
    <fill>
      <patternFill patternType="solid">
        <fgColor rgb="FF1A0808"/>
        <bgColor rgb="FF1A0808"/>
      </patternFill>
    </fill>
    <fill>
      <patternFill patternType="solid">
        <fgColor rgb="FF1E1200"/>
        <bgColor rgb="FF1E1200"/>
      </patternFill>
    </fill>
    <fill>
      <patternFill patternType="solid">
        <fgColor rgb="FF221500"/>
        <bgColor rgb="FF221500"/>
      </patternFill>
    </fill>
    <fill>
      <patternFill patternType="solid">
        <fgColor rgb="FF1A1000"/>
        <bgColor rgb="FF1A1000"/>
      </patternFill>
    </fill>
    <fill>
      <patternFill patternType="solid">
        <fgColor rgb="FF221000"/>
        <bgColor rgb="FF221000"/>
      </patternFill>
    </fill>
    <fill>
      <patternFill patternType="solid">
        <fgColor rgb="FF2A1200"/>
        <bgColor rgb="FF2A1200"/>
      </patternFill>
    </fill>
    <fill>
      <patternFill patternType="solid">
        <fgColor rgb="FF1E1000"/>
        <bgColor rgb="FF1E1000"/>
      </patternFill>
    </fill>
    <fill>
      <patternFill patternType="solid">
        <fgColor rgb="FF201000"/>
        <bgColor rgb="FF201000"/>
      </patternFill>
    </fill>
    <fill>
      <patternFill patternType="solid">
        <fgColor rgb="FF0D0E1C"/>
        <bgColor rgb="FF0D0E1C"/>
      </patternFill>
    </fill>
    <fill>
      <patternFill patternType="solid">
        <fgColor rgb="FF1A1A28"/>
        <bgColor rgb="FF1A1A28"/>
      </patternFill>
    </fill>
    <fill>
      <patternFill patternType="solid">
        <fgColor rgb="FF161620"/>
        <bgColor rgb="FF161620"/>
      </patternFill>
    </fill>
    <fill>
      <patternFill patternType="solid">
        <fgColor rgb="FF171725"/>
        <bgColor rgb="FF171725"/>
      </patternFill>
    </fill>
    <fill>
      <patternFill patternType="solid">
        <fgColor rgb="FF1A1A30"/>
        <bgColor rgb="FF1A1A30"/>
      </patternFill>
    </fill>
    <fill>
      <patternFill patternType="solid">
        <fgColor rgb="FF221A00"/>
        <bgColor rgb="FF221A00"/>
      </patternFill>
    </fill>
    <fill>
      <patternFill patternType="solid">
        <fgColor rgb="FF2A1E00"/>
        <bgColor rgb="FF2A1E00"/>
      </patternFill>
    </fill>
    <fill>
      <patternFill patternType="solid">
        <fgColor rgb="FF152A00"/>
        <bgColor rgb="FF152A00"/>
      </patternFill>
    </fill>
    <fill>
      <patternFill patternType="solid">
        <fgColor rgb="FF2A2000"/>
        <bgColor rgb="FF2A2000"/>
      </patternFill>
    </fill>
    <fill>
      <patternFill patternType="solid">
        <fgColor rgb="FF0D1A0D"/>
        <bgColor rgb="FF0D1A0D"/>
      </patternFill>
    </fill>
    <fill>
      <patternFill patternType="solid">
        <fgColor rgb="FF1A0D00"/>
        <bgColor rgb="FF1A0D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4" fillId="4" fontId="6" numFmtId="0" xfId="0" applyAlignment="1" applyBorder="1" applyFont="1">
      <alignment horizontal="left" vertical="center"/>
    </xf>
    <xf borderId="4" fillId="5" fontId="7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6" fontId="9" numFmtId="0" xfId="0" applyAlignment="1" applyBorder="1" applyFill="1" applyFont="1">
      <alignment horizontal="left" vertical="center"/>
    </xf>
    <xf borderId="4" fillId="6" fontId="10" numFmtId="0" xfId="0" applyAlignment="1" applyBorder="1" applyFont="1">
      <alignment horizontal="left" vertical="center"/>
    </xf>
    <xf borderId="4" fillId="7" fontId="11" numFmtId="0" xfId="0" applyAlignment="1" applyBorder="1" applyFill="1" applyFont="1">
      <alignment horizontal="left" vertical="center"/>
    </xf>
    <xf borderId="4" fillId="7" fontId="12" numFmtId="0" xfId="0" applyAlignment="1" applyBorder="1" applyFont="1">
      <alignment horizontal="left" vertical="center"/>
    </xf>
    <xf borderId="4" fillId="8" fontId="13" numFmtId="0" xfId="0" applyAlignment="1" applyBorder="1" applyFill="1" applyFont="1">
      <alignment horizontal="left" vertical="center"/>
    </xf>
    <xf borderId="4" fillId="8" fontId="14" numFmtId="0" xfId="0" applyAlignment="1" applyBorder="1" applyFont="1">
      <alignment horizontal="left" vertical="center"/>
    </xf>
    <xf borderId="4" fillId="9" fontId="15" numFmtId="0" xfId="0" applyAlignment="1" applyBorder="1" applyFill="1" applyFont="1">
      <alignment horizontal="left" vertical="center"/>
    </xf>
    <xf borderId="4" fillId="9" fontId="16" numFmtId="0" xfId="0" applyAlignment="1" applyBorder="1" applyFont="1">
      <alignment horizontal="left" vertical="center"/>
    </xf>
    <xf borderId="4" fillId="10" fontId="17" numFmtId="0" xfId="0" applyAlignment="1" applyBorder="1" applyFill="1" applyFont="1">
      <alignment horizontal="left" vertical="center"/>
    </xf>
    <xf borderId="4" fillId="10" fontId="18" numFmtId="0" xfId="0" applyAlignment="1" applyBorder="1" applyFont="1">
      <alignment horizontal="left" vertical="center"/>
    </xf>
    <xf borderId="4" fillId="11" fontId="19" numFmtId="0" xfId="0" applyAlignment="1" applyBorder="1" applyFill="1" applyFont="1">
      <alignment horizontal="left" vertical="center"/>
    </xf>
    <xf borderId="4" fillId="11" fontId="20" numFmtId="0" xfId="0" applyAlignment="1" applyBorder="1" applyFont="1">
      <alignment horizontal="left" vertical="center"/>
    </xf>
    <xf borderId="4" fillId="12" fontId="21" numFmtId="0" xfId="0" applyAlignment="1" applyBorder="1" applyFill="1" applyFont="1">
      <alignment horizontal="left" vertical="center"/>
    </xf>
    <xf borderId="4" fillId="12" fontId="22" numFmtId="0" xfId="0" applyAlignment="1" applyBorder="1" applyFont="1">
      <alignment horizontal="left" vertical="center"/>
    </xf>
    <xf borderId="4" fillId="13" fontId="23" numFmtId="0" xfId="0" applyAlignment="1" applyBorder="1" applyFill="1" applyFont="1">
      <alignment horizontal="left" vertical="center"/>
    </xf>
    <xf borderId="4" fillId="13" fontId="24" numFmtId="0" xfId="0" applyAlignment="1" applyBorder="1" applyFont="1">
      <alignment horizontal="left" vertical="center"/>
    </xf>
    <xf borderId="0" fillId="0" fontId="25" numFmtId="0" xfId="0" applyAlignment="1" applyFont="1">
      <alignment vertical="bottom"/>
    </xf>
    <xf borderId="5" fillId="2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left" vertical="center"/>
    </xf>
    <xf borderId="8" fillId="14" fontId="26" numFmtId="0" xfId="0" applyAlignment="1" applyBorder="1" applyFill="1" applyFont="1">
      <alignment horizontal="left" vertical="center"/>
    </xf>
    <xf borderId="8" fillId="14" fontId="27" numFmtId="0" xfId="0" applyAlignment="1" applyBorder="1" applyFont="1">
      <alignment horizontal="left" vertical="center"/>
    </xf>
    <xf borderId="8" fillId="5" fontId="23" numFmtId="0" xfId="0" applyAlignment="1" applyBorder="1" applyFont="1">
      <alignment horizontal="center" vertical="center"/>
    </xf>
    <xf borderId="8" fillId="5" fontId="7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vertical="center"/>
    </xf>
    <xf borderId="8" fillId="15" fontId="28" numFmtId="0" xfId="0" applyAlignment="1" applyBorder="1" applyFill="1" applyFont="1">
      <alignment horizontal="left" vertical="center"/>
    </xf>
    <xf borderId="8" fillId="15" fontId="29" numFmtId="0" xfId="0" applyAlignment="1" applyBorder="1" applyFont="1">
      <alignment horizontal="left" vertical="center"/>
    </xf>
    <xf borderId="8" fillId="5" fontId="9" numFmtId="0" xfId="0" applyAlignment="1" applyBorder="1" applyFont="1">
      <alignment horizontal="center" vertical="center"/>
    </xf>
    <xf borderId="8" fillId="12" fontId="30" numFmtId="0" xfId="0" applyAlignment="1" applyBorder="1" applyFont="1">
      <alignment horizontal="left" vertical="center"/>
    </xf>
    <xf borderId="8" fillId="12" fontId="31" numFmtId="0" xfId="0" applyAlignment="1" applyBorder="1" applyFont="1">
      <alignment horizontal="left" vertical="center"/>
    </xf>
    <xf borderId="8" fillId="16" fontId="32" numFmtId="0" xfId="0" applyAlignment="1" applyBorder="1" applyFill="1" applyFont="1">
      <alignment horizontal="left" vertical="center"/>
    </xf>
    <xf borderId="8" fillId="16" fontId="33" numFmtId="0" xfId="0" applyAlignment="1" applyBorder="1" applyFont="1">
      <alignment horizontal="left" vertical="center"/>
    </xf>
    <xf borderId="8" fillId="17" fontId="34" numFmtId="0" xfId="0" applyAlignment="1" applyBorder="1" applyFill="1" applyFont="1">
      <alignment horizontal="left" vertical="center"/>
    </xf>
    <xf borderId="8" fillId="17" fontId="35" numFmtId="0" xfId="0" applyAlignment="1" applyBorder="1" applyFont="1">
      <alignment horizontal="left" vertical="center"/>
    </xf>
    <xf borderId="8" fillId="18" fontId="36" numFmtId="0" xfId="0" applyAlignment="1" applyBorder="1" applyFill="1" applyFont="1">
      <alignment horizontal="left" vertical="center"/>
    </xf>
    <xf borderId="8" fillId="18" fontId="37" numFmtId="0" xfId="0" applyAlignment="1" applyBorder="1" applyFont="1">
      <alignment horizontal="left" vertical="center"/>
    </xf>
    <xf borderId="8" fillId="16" fontId="38" numFmtId="0" xfId="0" applyAlignment="1" applyBorder="1" applyFont="1">
      <alignment horizontal="left" vertical="center"/>
    </xf>
    <xf borderId="8" fillId="16" fontId="39" numFmtId="0" xfId="0" applyAlignment="1" applyBorder="1" applyFont="1">
      <alignment horizontal="left" vertical="center"/>
    </xf>
    <xf borderId="8" fillId="19" fontId="40" numFmtId="0" xfId="0" applyAlignment="1" applyBorder="1" applyFill="1" applyFont="1">
      <alignment horizontal="left" vertical="center"/>
    </xf>
    <xf borderId="8" fillId="19" fontId="41" numFmtId="0" xfId="0" applyAlignment="1" applyBorder="1" applyFont="1">
      <alignment horizontal="left" vertical="center"/>
    </xf>
    <xf borderId="8" fillId="20" fontId="42" numFmtId="0" xfId="0" applyAlignment="1" applyBorder="1" applyFill="1" applyFont="1">
      <alignment horizontal="left" vertical="center"/>
    </xf>
    <xf borderId="8" fillId="20" fontId="43" numFmtId="0" xfId="0" applyAlignment="1" applyBorder="1" applyFont="1">
      <alignment horizontal="left" vertical="center"/>
    </xf>
    <xf borderId="8" fillId="21" fontId="44" numFmtId="0" xfId="0" applyAlignment="1" applyBorder="1" applyFill="1" applyFont="1">
      <alignment horizontal="left" vertical="center"/>
    </xf>
    <xf borderId="8" fillId="21" fontId="45" numFmtId="0" xfId="0" applyAlignment="1" applyBorder="1" applyFont="1">
      <alignment horizontal="left" vertical="center"/>
    </xf>
    <xf borderId="8" fillId="22" fontId="46" numFmtId="0" xfId="0" applyAlignment="1" applyBorder="1" applyFill="1" applyFont="1">
      <alignment horizontal="left" vertical="center"/>
    </xf>
    <xf borderId="8" fillId="22" fontId="47" numFmtId="0" xfId="0" applyAlignment="1" applyBorder="1" applyFont="1">
      <alignment horizontal="left" vertical="center"/>
    </xf>
    <xf borderId="8" fillId="23" fontId="48" numFmtId="0" xfId="0" applyAlignment="1" applyBorder="1" applyFill="1" applyFont="1">
      <alignment horizontal="left" vertical="center"/>
    </xf>
    <xf borderId="8" fillId="23" fontId="49" numFmtId="0" xfId="0" applyAlignment="1" applyBorder="1" applyFont="1">
      <alignment horizontal="left" vertical="center"/>
    </xf>
    <xf borderId="8" fillId="23" fontId="50" numFmtId="0" xfId="0" applyAlignment="1" applyBorder="1" applyFont="1">
      <alignment horizontal="left" vertical="center"/>
    </xf>
    <xf borderId="8" fillId="23" fontId="51" numFmtId="0" xfId="0" applyAlignment="1" applyBorder="1" applyFont="1">
      <alignment horizontal="left" vertical="center"/>
    </xf>
    <xf borderId="8" fillId="4" fontId="5" numFmtId="0" xfId="0" applyAlignment="1" applyBorder="1" applyFont="1">
      <alignment horizontal="left" vertical="center"/>
    </xf>
    <xf borderId="8" fillId="4" fontId="6" numFmtId="0" xfId="0" applyAlignment="1" applyBorder="1" applyFont="1">
      <alignment horizontal="left" vertical="center"/>
    </xf>
    <xf borderId="8" fillId="24" fontId="52" numFmtId="0" xfId="0" applyAlignment="1" applyBorder="1" applyFill="1" applyFont="1">
      <alignment horizontal="left" vertical="center"/>
    </xf>
    <xf borderId="8" fillId="24" fontId="53" numFmtId="0" xfId="0" applyAlignment="1" applyBorder="1" applyFont="1">
      <alignment horizontal="left" vertical="center"/>
    </xf>
    <xf borderId="8" fillId="25" fontId="54" numFmtId="0" xfId="0" applyAlignment="1" applyBorder="1" applyFill="1" applyFont="1">
      <alignment horizontal="left" vertical="center"/>
    </xf>
    <xf borderId="8" fillId="25" fontId="55" numFmtId="0" xfId="0" applyAlignment="1" applyBorder="1" applyFont="1">
      <alignment horizontal="left" vertical="center"/>
    </xf>
    <xf borderId="8" fillId="24" fontId="56" numFmtId="0" xfId="0" applyAlignment="1" applyBorder="1" applyFont="1">
      <alignment horizontal="left" vertical="center"/>
    </xf>
    <xf borderId="8" fillId="24" fontId="57" numFmtId="0" xfId="0" applyAlignment="1" applyBorder="1" applyFont="1">
      <alignment horizontal="left" vertical="center"/>
    </xf>
    <xf borderId="8" fillId="24" fontId="58" numFmtId="0" xfId="0" applyAlignment="1" applyBorder="1" applyFont="1">
      <alignment horizontal="left" vertical="center"/>
    </xf>
    <xf borderId="8" fillId="24" fontId="59" numFmtId="0" xfId="0" applyAlignment="1" applyBorder="1" applyFont="1">
      <alignment horizontal="left" vertical="center"/>
    </xf>
    <xf borderId="8" fillId="25" fontId="60" numFmtId="0" xfId="0" applyAlignment="1" applyBorder="1" applyFont="1">
      <alignment horizontal="left" vertical="center"/>
    </xf>
    <xf borderId="8" fillId="25" fontId="61" numFmtId="0" xfId="0" applyAlignment="1" applyBorder="1" applyFont="1">
      <alignment horizontal="left" vertical="center"/>
    </xf>
    <xf borderId="8" fillId="4" fontId="62" numFmtId="0" xfId="0" applyAlignment="1" applyBorder="1" applyFont="1">
      <alignment horizontal="left" vertical="center"/>
    </xf>
    <xf borderId="8" fillId="4" fontId="63" numFmtId="0" xfId="0" applyAlignment="1" applyBorder="1" applyFont="1">
      <alignment horizontal="left" vertical="center"/>
    </xf>
    <xf borderId="8" fillId="24" fontId="64" numFmtId="0" xfId="0" applyAlignment="1" applyBorder="1" applyFont="1">
      <alignment horizontal="left" vertical="center"/>
    </xf>
    <xf borderId="8" fillId="24" fontId="65" numFmtId="0" xfId="0" applyAlignment="1" applyBorder="1" applyFont="1">
      <alignment horizontal="left" vertical="center"/>
    </xf>
    <xf borderId="8" fillId="26" fontId="66" numFmtId="0" xfId="0" applyAlignment="1" applyBorder="1" applyFill="1" applyFont="1">
      <alignment horizontal="left" vertical="center"/>
    </xf>
    <xf borderId="8" fillId="26" fontId="67" numFmtId="0" xfId="0" applyAlignment="1" applyBorder="1" applyFont="1">
      <alignment horizontal="left" vertical="center"/>
    </xf>
    <xf borderId="8" fillId="27" fontId="68" numFmtId="0" xfId="0" applyAlignment="1" applyBorder="1" applyFill="1" applyFont="1">
      <alignment horizontal="left" vertical="center"/>
    </xf>
    <xf borderId="8" fillId="27" fontId="69" numFmtId="0" xfId="0" applyAlignment="1" applyBorder="1" applyFont="1">
      <alignment horizontal="left" vertical="center"/>
    </xf>
    <xf borderId="8" fillId="6" fontId="9" numFmtId="0" xfId="0" applyAlignment="1" applyBorder="1" applyFont="1">
      <alignment horizontal="left" vertical="center"/>
    </xf>
    <xf borderId="8" fillId="6" fontId="10" numFmtId="0" xfId="0" applyAlignment="1" applyBorder="1" applyFont="1">
      <alignment horizontal="left" vertical="center"/>
    </xf>
    <xf borderId="8" fillId="9" fontId="15" numFmtId="0" xfId="0" applyAlignment="1" applyBorder="1" applyFont="1">
      <alignment horizontal="left" vertical="center"/>
    </xf>
    <xf borderId="8" fillId="9" fontId="16" numFmtId="0" xfId="0" applyAlignment="1" applyBorder="1" applyFont="1">
      <alignment horizontal="left" vertical="center"/>
    </xf>
    <xf borderId="8" fillId="28" fontId="70" numFmtId="0" xfId="0" applyAlignment="1" applyBorder="1" applyFill="1" applyFont="1">
      <alignment horizontal="left" readingOrder="0" vertical="center"/>
    </xf>
    <xf borderId="8" fillId="28" fontId="71" numFmtId="0" xfId="0" applyAlignment="1" applyBorder="1" applyFont="1">
      <alignment horizontal="left" readingOrder="0" vertical="center"/>
    </xf>
    <xf borderId="8" fillId="5" fontId="9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8" fillId="3" fontId="8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28" fontId="70" numFmtId="0" xfId="0" applyAlignment="1" applyBorder="1" applyFont="1">
      <alignment horizontal="left" vertical="center"/>
    </xf>
    <xf borderId="8" fillId="28" fontId="71" numFmtId="0" xfId="0" applyAlignment="1" applyBorder="1" applyFont="1">
      <alignment horizontal="left" vertical="center"/>
    </xf>
    <xf borderId="8" fillId="29" fontId="72" numFmtId="0" xfId="0" applyAlignment="1" applyBorder="1" applyFill="1" applyFont="1">
      <alignment horizontal="left" vertical="center"/>
    </xf>
    <xf borderId="8" fillId="29" fontId="73" numFmtId="0" xfId="0" applyAlignment="1" applyBorder="1" applyFont="1">
      <alignment horizontal="left" vertical="center"/>
    </xf>
    <xf borderId="8" fillId="10" fontId="17" numFmtId="0" xfId="0" applyAlignment="1" applyBorder="1" applyFont="1">
      <alignment horizontal="left" vertical="center"/>
    </xf>
    <xf borderId="8" fillId="10" fontId="18" numFmtId="0" xfId="0" applyAlignment="1" applyBorder="1" applyFont="1">
      <alignment horizontal="left" vertical="center"/>
    </xf>
    <xf borderId="8" fillId="10" fontId="74" numFmtId="0" xfId="0" applyAlignment="1" applyBorder="1" applyFont="1">
      <alignment horizontal="left" vertical="center"/>
    </xf>
    <xf borderId="8" fillId="10" fontId="75" numFmtId="0" xfId="0" applyAlignment="1" applyBorder="1" applyFont="1">
      <alignment horizontal="left" vertical="center"/>
    </xf>
    <xf borderId="8" fillId="10" fontId="76" numFmtId="0" xfId="0" applyAlignment="1" applyBorder="1" applyFont="1">
      <alignment horizontal="left" vertical="center"/>
    </xf>
    <xf borderId="8" fillId="10" fontId="77" numFmtId="0" xfId="0" applyAlignment="1" applyBorder="1" applyFont="1">
      <alignment horizontal="left" vertical="center"/>
    </xf>
    <xf borderId="8" fillId="11" fontId="19" numFmtId="0" xfId="0" applyAlignment="1" applyBorder="1" applyFont="1">
      <alignment horizontal="left" vertical="center"/>
    </xf>
    <xf borderId="8" fillId="11" fontId="20" numFmtId="0" xfId="0" applyAlignment="1" applyBorder="1" applyFont="1">
      <alignment horizontal="left" vertical="center"/>
    </xf>
    <xf borderId="8" fillId="13" fontId="23" numFmtId="0" xfId="0" applyAlignment="1" applyBorder="1" applyFont="1">
      <alignment horizontal="left" vertical="center"/>
    </xf>
    <xf borderId="8" fillId="13" fontId="24" numFmtId="0" xfId="0" applyAlignment="1" applyBorder="1" applyFont="1">
      <alignment horizontal="left" vertical="center"/>
    </xf>
    <xf borderId="8" fillId="13" fontId="78" numFmtId="0" xfId="0" applyAlignment="1" applyBorder="1" applyFont="1">
      <alignment horizontal="left" vertical="center"/>
    </xf>
    <xf borderId="8" fillId="13" fontId="79" numFmtId="0" xfId="0" applyAlignment="1" applyBorder="1" applyFont="1">
      <alignment horizontal="left" vertical="center"/>
    </xf>
    <xf borderId="8" fillId="10" fontId="80" numFmtId="0" xfId="0" applyAlignment="1" applyBorder="1" applyFont="1">
      <alignment horizontal="left" vertical="center"/>
    </xf>
    <xf borderId="8" fillId="10" fontId="81" numFmtId="0" xfId="0" applyAlignment="1" applyBorder="1" applyFont="1">
      <alignment horizontal="left" vertical="center"/>
    </xf>
    <xf borderId="8" fillId="30" fontId="82" numFmtId="0" xfId="0" applyAlignment="1" applyBorder="1" applyFill="1" applyFont="1">
      <alignment horizontal="left" vertical="center"/>
    </xf>
    <xf borderId="8" fillId="30" fontId="83" numFmtId="0" xfId="0" applyAlignment="1" applyBorder="1" applyFont="1">
      <alignment horizontal="left" vertical="center"/>
    </xf>
    <xf borderId="8" fillId="30" fontId="84" numFmtId="0" xfId="0" applyAlignment="1" applyBorder="1" applyFont="1">
      <alignment horizontal="left" vertical="center"/>
    </xf>
    <xf borderId="8" fillId="30" fontId="85" numFmtId="0" xfId="0" applyAlignment="1" applyBorder="1" applyFont="1">
      <alignment horizontal="left" vertical="center"/>
    </xf>
    <xf borderId="8" fillId="30" fontId="86" numFmtId="0" xfId="0" applyAlignment="1" applyBorder="1" applyFont="1">
      <alignment horizontal="left" vertical="center"/>
    </xf>
    <xf borderId="8" fillId="30" fontId="87" numFmtId="0" xfId="0" applyAlignment="1" applyBorder="1" applyFont="1">
      <alignment horizontal="left" vertical="center"/>
    </xf>
    <xf borderId="8" fillId="31" fontId="88" numFmtId="0" xfId="0" applyAlignment="1" applyBorder="1" applyFill="1" applyFont="1">
      <alignment horizontal="left" vertical="center"/>
    </xf>
    <xf borderId="8" fillId="31" fontId="89" numFmtId="0" xfId="0" applyAlignment="1" applyBorder="1" applyFont="1">
      <alignment horizontal="left" vertical="center"/>
    </xf>
    <xf borderId="1" fillId="2" fontId="90" numFmtId="0" xfId="0" applyAlignment="1" applyBorder="1" applyFont="1">
      <alignment horizontal="center" vertical="center"/>
    </xf>
    <xf borderId="4" fillId="6" fontId="91" numFmtId="0" xfId="0" applyAlignment="1" applyBorder="1" applyFont="1">
      <alignment horizontal="left" vertical="center"/>
    </xf>
    <xf borderId="4" fillId="6" fontId="92" numFmtId="0" xfId="0" applyAlignment="1" applyBorder="1" applyFont="1">
      <alignment horizontal="center" readingOrder="0" vertical="center"/>
    </xf>
    <xf borderId="4" fillId="6" fontId="92" numFmtId="0" xfId="0" applyAlignment="1" applyBorder="1" applyFont="1">
      <alignment horizontal="left" vertical="center"/>
    </xf>
    <xf borderId="4" fillId="32" fontId="93" numFmtId="0" xfId="0" applyAlignment="1" applyBorder="1" applyFill="1" applyFont="1">
      <alignment horizontal="left" vertical="center"/>
    </xf>
    <xf borderId="4" fillId="32" fontId="94" numFmtId="0" xfId="0" applyAlignment="1" applyBorder="1" applyFont="1">
      <alignment horizontal="center" readingOrder="0" vertical="center"/>
    </xf>
    <xf borderId="4" fillId="32" fontId="94" numFmtId="0" xfId="0" applyAlignment="1" applyBorder="1" applyFont="1">
      <alignment horizontal="left" readingOrder="0" vertical="center"/>
    </xf>
    <xf borderId="4" fillId="3" fontId="30" numFmtId="0" xfId="0" applyAlignment="1" applyBorder="1" applyFont="1">
      <alignment horizontal="left" vertical="center"/>
    </xf>
    <xf borderId="4" fillId="3" fontId="31" numFmtId="0" xfId="0" applyAlignment="1" applyBorder="1" applyFont="1">
      <alignment horizontal="center" readingOrder="0" vertical="center"/>
    </xf>
    <xf borderId="4" fillId="3" fontId="31" numFmtId="0" xfId="0" applyAlignment="1" applyBorder="1" applyFont="1">
      <alignment horizontal="left" vertical="center"/>
    </xf>
    <xf borderId="4" fillId="33" fontId="95" numFmtId="0" xfId="0" applyAlignment="1" applyBorder="1" applyFill="1" applyFont="1">
      <alignment horizontal="left" vertical="center"/>
    </xf>
    <xf borderId="4" fillId="33" fontId="96" numFmtId="0" xfId="0" applyAlignment="1" applyBorder="1" applyFont="1">
      <alignment horizontal="center" readingOrder="0" vertical="center"/>
    </xf>
    <xf borderId="4" fillId="33" fontId="9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973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6.0"/>
    <col customWidth="1" min="4" max="5" width="5.0"/>
    <col customWidth="1" min="6" max="7" width="9.0"/>
    <col customWidth="1" min="8" max="9" width="11.0"/>
    <col customWidth="1" min="10" max="11" width="8.0"/>
    <col customWidth="1" min="12" max="12" width="6.0"/>
    <col customWidth="1" min="13" max="13" width="9.0"/>
    <col customWidth="1" min="14" max="14" width="5.0"/>
    <col customWidth="1" min="15" max="15" width="9.0"/>
    <col customWidth="1" min="16" max="16" width="7.0"/>
    <col customWidth="1" min="17" max="18" width="10.0"/>
    <col customWidth="1" min="1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ht="18.0" customHeight="1">
      <c r="A3" s="5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ht="15.75" customHeight="1">
      <c r="A4" s="6" t="s">
        <v>4</v>
      </c>
      <c r="B4" s="7" t="s">
        <v>20</v>
      </c>
      <c r="C4" s="8">
        <v>5.0</v>
      </c>
      <c r="D4" s="9"/>
      <c r="E4" s="9"/>
      <c r="F4" s="9"/>
      <c r="G4" s="9"/>
      <c r="H4" s="9"/>
      <c r="I4" s="9"/>
      <c r="J4" s="9"/>
      <c r="K4" s="9">
        <v>8.0</v>
      </c>
      <c r="L4" s="9">
        <v>1.0</v>
      </c>
      <c r="M4" s="9">
        <v>2.0</v>
      </c>
      <c r="N4" s="9"/>
      <c r="O4" s="9"/>
      <c r="P4" s="9"/>
      <c r="Q4" s="10">
        <f>IF(D4="",0,D4*'💰 Prix matériaux'!$B$3)+IF(E4="",0,E4*'💰 Prix matériaux'!$B$4)+IF(F4="",0,F4*'💰 Prix matériaux'!$B$5)+IF(G4="",0,G4*'💰 Prix matériaux'!$B$6)+IF(H4="",0,H4*'💰 Prix matériaux'!$B$7)+IF(I4="",0,I4*'💰 Prix matériaux'!$B$8)+IF(J4="",0,J4*'💰 Prix matériaux'!$B$9)+IF(K4="",0,K4*'💰 Prix matériaux'!$B$10)+IF(L4="",0,L4*'💰 Prix matériaux'!$B$11)+IF(M4="",0,M4*'💰 Prix matériaux'!$B$12)+IF(N4="",0,N4*'💰 Prix matériaux'!$B$13)+IF(O4="",0,O4*'💰 Prix matériaux'!$B$15)+IF(P4="",0,P4*'💰 Prix matériaux'!$B$16)</f>
        <v>14</v>
      </c>
      <c r="R4" s="11">
        <f t="shared" ref="R4:R12" si="1">C4+Q4</f>
        <v>19</v>
      </c>
    </row>
    <row r="5" ht="15.75" customHeight="1">
      <c r="A5" s="6" t="s">
        <v>4</v>
      </c>
      <c r="B5" s="7" t="s">
        <v>21</v>
      </c>
      <c r="C5" s="9">
        <v>5.0</v>
      </c>
      <c r="D5" s="9">
        <v>1.0</v>
      </c>
      <c r="E5" s="9"/>
      <c r="F5" s="9"/>
      <c r="G5" s="9"/>
      <c r="H5" s="9"/>
      <c r="I5" s="9"/>
      <c r="J5" s="9"/>
      <c r="K5" s="9"/>
      <c r="L5" s="9"/>
      <c r="M5" s="9">
        <v>1.0</v>
      </c>
      <c r="N5" s="9"/>
      <c r="O5" s="9"/>
      <c r="P5" s="9"/>
      <c r="Q5" s="10">
        <f>IF(D5="",0,D5*'💰 Prix matériaux'!$B$3)+IF(E5="",0,E5*'💰 Prix matériaux'!$B$4)+IF(F5="",0,F5*'💰 Prix matériaux'!$B$5)+IF(G5="",0,G5*'💰 Prix matériaux'!$B$6)+IF(H5="",0,H5*'💰 Prix matériaux'!$B$7)+IF(I5="",0,I5*'💰 Prix matériaux'!$B$8)+IF(J5="",0,J5*'💰 Prix matériaux'!$B$9)+IF(K5="",0,K5*'💰 Prix matériaux'!$B$10)+IF(L5="",0,L5*'💰 Prix matériaux'!$B$11)+IF(M5="",0,M5*'💰 Prix matériaux'!$B$12)+IF(N5="",0,N5*'💰 Prix matériaux'!$B$13)+IF(O5="",0,O5*'💰 Prix matériaux'!$B$15)+IF(P5="",0,P5*'💰 Prix matériaux'!$B$16)</f>
        <v>5</v>
      </c>
      <c r="R5" s="11">
        <f t="shared" si="1"/>
        <v>10</v>
      </c>
    </row>
    <row r="6" ht="15.75" customHeight="1">
      <c r="A6" s="6" t="s">
        <v>4</v>
      </c>
      <c r="B6" s="7" t="s">
        <v>22</v>
      </c>
      <c r="C6" s="9">
        <v>5.0</v>
      </c>
      <c r="D6" s="9">
        <v>4.0</v>
      </c>
      <c r="E6" s="9"/>
      <c r="F6" s="9"/>
      <c r="G6" s="9"/>
      <c r="H6" s="9"/>
      <c r="I6" s="9"/>
      <c r="J6" s="9"/>
      <c r="K6" s="9"/>
      <c r="L6" s="9"/>
      <c r="M6" s="9">
        <v>2.0</v>
      </c>
      <c r="N6" s="9"/>
      <c r="O6" s="9"/>
      <c r="P6" s="9"/>
      <c r="Q6" s="10">
        <f>IF(D6="",0,D6*'💰 Prix matériaux'!$B$3)+IF(E6="",0,E6*'💰 Prix matériaux'!$B$4)+IF(F6="",0,F6*'💰 Prix matériaux'!$B$5)+IF(G6="",0,G6*'💰 Prix matériaux'!$B$6)+IF(H6="",0,H6*'💰 Prix matériaux'!$B$7)+IF(I6="",0,I6*'💰 Prix matériaux'!$B$8)+IF(J6="",0,J6*'💰 Prix matériaux'!$B$9)+IF(K6="",0,K6*'💰 Prix matériaux'!$B$10)+IF(L6="",0,L6*'💰 Prix matériaux'!$B$11)+IF(M6="",0,M6*'💰 Prix matériaux'!$B$12)+IF(N6="",0,N6*'💰 Prix matériaux'!$B$13)+IF(O6="",0,O6*'💰 Prix matériaux'!$B$15)+IF(P6="",0,P6*'💰 Prix matériaux'!$B$16)</f>
        <v>18</v>
      </c>
      <c r="R6" s="11">
        <f t="shared" si="1"/>
        <v>23</v>
      </c>
    </row>
    <row r="7" ht="15.75" customHeight="1">
      <c r="A7" s="6" t="s">
        <v>4</v>
      </c>
      <c r="B7" s="7" t="s">
        <v>23</v>
      </c>
      <c r="C7" s="9">
        <v>5.0</v>
      </c>
      <c r="D7" s="9">
        <v>1.0</v>
      </c>
      <c r="E7" s="9"/>
      <c r="F7" s="9"/>
      <c r="G7" s="9"/>
      <c r="H7" s="9"/>
      <c r="I7" s="9"/>
      <c r="J7" s="9"/>
      <c r="K7" s="9">
        <v>1.0</v>
      </c>
      <c r="L7" s="9"/>
      <c r="M7" s="9"/>
      <c r="N7" s="9"/>
      <c r="O7" s="9"/>
      <c r="P7" s="9"/>
      <c r="Q7" s="10">
        <f>IF(D7="",0,D7*'💰 Prix matériaux'!$B$3)+IF(E7="",0,E7*'💰 Prix matériaux'!$B$4)+IF(F7="",0,F7*'💰 Prix matériaux'!$B$5)+IF(G7="",0,G7*'💰 Prix matériaux'!$B$6)+IF(H7="",0,H7*'💰 Prix matériaux'!$B$7)+IF(I7="",0,I7*'💰 Prix matériaux'!$B$8)+IF(J7="",0,J7*'💰 Prix matériaux'!$B$9)+IF(K7="",0,K7*'💰 Prix matériaux'!$B$10)+IF(L7="",0,L7*'💰 Prix matériaux'!$B$11)+IF(M7="",0,M7*'💰 Prix matériaux'!$B$12)+IF(N7="",0,N7*'💰 Prix matériaux'!$B$13)+IF(O7="",0,O7*'💰 Prix matériaux'!$B$15)+IF(P7="",0,P7*'💰 Prix matériaux'!$B$16)</f>
        <v>5</v>
      </c>
      <c r="R7" s="11">
        <f t="shared" si="1"/>
        <v>10</v>
      </c>
    </row>
    <row r="8" ht="15.75" customHeight="1">
      <c r="A8" s="6" t="s">
        <v>4</v>
      </c>
      <c r="B8" s="7" t="s">
        <v>24</v>
      </c>
      <c r="C8" s="9">
        <v>5.0</v>
      </c>
      <c r="D8" s="9">
        <v>4.0</v>
      </c>
      <c r="E8" s="9"/>
      <c r="F8" s="9"/>
      <c r="G8" s="9"/>
      <c r="H8" s="9"/>
      <c r="I8" s="9"/>
      <c r="J8" s="9"/>
      <c r="K8" s="9"/>
      <c r="L8" s="9"/>
      <c r="M8" s="9">
        <v>2.0</v>
      </c>
      <c r="N8" s="9"/>
      <c r="O8" s="9"/>
      <c r="P8" s="9"/>
      <c r="Q8" s="10">
        <f>IF(D8="",0,D8*'💰 Prix matériaux'!$B$3)+IF(E8="",0,E8*'💰 Prix matériaux'!$B$4)+IF(F8="",0,F8*'💰 Prix matériaux'!$B$5)+IF(G8="",0,G8*'💰 Prix matériaux'!$B$6)+IF(H8="",0,H8*'💰 Prix matériaux'!$B$7)+IF(I8="",0,I8*'💰 Prix matériaux'!$B$8)+IF(J8="",0,J8*'💰 Prix matériaux'!$B$9)+IF(K8="",0,K8*'💰 Prix matériaux'!$B$10)+IF(L8="",0,L8*'💰 Prix matériaux'!$B$11)+IF(M8="",0,M8*'💰 Prix matériaux'!$B$12)+IF(N8="",0,N8*'💰 Prix matériaux'!$B$13)+IF(O8="",0,O8*'💰 Prix matériaux'!$B$15)+IF(P8="",0,P8*'💰 Prix matériaux'!$B$16)</f>
        <v>18</v>
      </c>
      <c r="R8" s="11">
        <f t="shared" si="1"/>
        <v>23</v>
      </c>
    </row>
    <row r="9" ht="15.75" customHeight="1">
      <c r="A9" s="6" t="s">
        <v>4</v>
      </c>
      <c r="B9" s="7" t="s">
        <v>25</v>
      </c>
      <c r="C9" s="9">
        <v>5.0</v>
      </c>
      <c r="D9" s="9">
        <v>2.0</v>
      </c>
      <c r="E9" s="9"/>
      <c r="F9" s="9"/>
      <c r="G9" s="9"/>
      <c r="H9" s="9"/>
      <c r="I9" s="9"/>
      <c r="J9" s="9"/>
      <c r="K9" s="9"/>
      <c r="L9" s="9"/>
      <c r="M9" s="9">
        <v>2.0</v>
      </c>
      <c r="N9" s="9"/>
      <c r="O9" s="9"/>
      <c r="P9" s="9"/>
      <c r="Q9" s="10">
        <f>IF(D9="",0,D9*'💰 Prix matériaux'!$B$3)+IF(E9="",0,E9*'💰 Prix matériaux'!$B$4)+IF(F9="",0,F9*'💰 Prix matériaux'!$B$5)+IF(G9="",0,G9*'💰 Prix matériaux'!$B$6)+IF(H9="",0,H9*'💰 Prix matériaux'!$B$7)+IF(I9="",0,I9*'💰 Prix matériaux'!$B$8)+IF(J9="",0,J9*'💰 Prix matériaux'!$B$9)+IF(K9="",0,K9*'💰 Prix matériaux'!$B$10)+IF(L9="",0,L9*'💰 Prix matériaux'!$B$11)+IF(M9="",0,M9*'💰 Prix matériaux'!$B$12)+IF(N9="",0,N9*'💰 Prix matériaux'!$B$13)+IF(O9="",0,O9*'💰 Prix matériaux'!$B$15)+IF(P9="",0,P9*'💰 Prix matériaux'!$B$16)</f>
        <v>10</v>
      </c>
      <c r="R9" s="11">
        <f t="shared" si="1"/>
        <v>15</v>
      </c>
    </row>
    <row r="10" ht="15.75" customHeight="1">
      <c r="A10" s="6" t="s">
        <v>4</v>
      </c>
      <c r="B10" s="7" t="s">
        <v>26</v>
      </c>
      <c r="C10" s="9">
        <v>5.0</v>
      </c>
      <c r="D10" s="9">
        <v>4.0</v>
      </c>
      <c r="E10" s="9"/>
      <c r="F10" s="9"/>
      <c r="G10" s="9"/>
      <c r="H10" s="9"/>
      <c r="I10" s="9"/>
      <c r="J10" s="9"/>
      <c r="K10" s="9"/>
      <c r="L10" s="9"/>
      <c r="M10" s="9">
        <v>3.0</v>
      </c>
      <c r="N10" s="9"/>
      <c r="O10" s="9"/>
      <c r="P10" s="9"/>
      <c r="Q10" s="10">
        <f>IF(D10="",0,D10*'💰 Prix matériaux'!$B$3)+IF(E10="",0,E10*'💰 Prix matériaux'!$B$4)+IF(F10="",0,F10*'💰 Prix matériaux'!$B$5)+IF(G10="",0,G10*'💰 Prix matériaux'!$B$6)+IF(H10="",0,H10*'💰 Prix matériaux'!$B$7)+IF(I10="",0,I10*'💰 Prix matériaux'!$B$8)+IF(J10="",0,J10*'💰 Prix matériaux'!$B$9)+IF(K10="",0,K10*'💰 Prix matériaux'!$B$10)+IF(L10="",0,L10*'💰 Prix matériaux'!$B$11)+IF(M10="",0,M10*'💰 Prix matériaux'!$B$12)+IF(N10="",0,N10*'💰 Prix matériaux'!$B$13)+IF(O10="",0,O10*'💰 Prix matériaux'!$B$15)+IF(P10="",0,P10*'💰 Prix matériaux'!$B$16)</f>
        <v>19</v>
      </c>
      <c r="R10" s="11">
        <f t="shared" si="1"/>
        <v>24</v>
      </c>
    </row>
    <row r="11" ht="15.75" customHeight="1">
      <c r="A11" s="6" t="s">
        <v>4</v>
      </c>
      <c r="B11" s="7" t="s">
        <v>27</v>
      </c>
      <c r="C11" s="9">
        <v>5.0</v>
      </c>
      <c r="D11" s="9">
        <v>3.0</v>
      </c>
      <c r="E11" s="9"/>
      <c r="F11" s="9"/>
      <c r="G11" s="9"/>
      <c r="H11" s="9"/>
      <c r="I11" s="9"/>
      <c r="J11" s="9"/>
      <c r="K11" s="9"/>
      <c r="L11" s="9"/>
      <c r="M11" s="9">
        <v>2.0</v>
      </c>
      <c r="N11" s="9"/>
      <c r="O11" s="9"/>
      <c r="P11" s="9"/>
      <c r="Q11" s="10">
        <f>IF(D11="",0,D11*'💰 Prix matériaux'!$B$3)+IF(E11="",0,E11*'💰 Prix matériaux'!$B$4)+IF(F11="",0,F11*'💰 Prix matériaux'!$B$5)+IF(G11="",0,G11*'💰 Prix matériaux'!$B$6)+IF(H11="",0,H11*'💰 Prix matériaux'!$B$7)+IF(I11="",0,I11*'💰 Prix matériaux'!$B$8)+IF(J11="",0,J11*'💰 Prix matériaux'!$B$9)+IF(K11="",0,K11*'💰 Prix matériaux'!$B$10)+IF(L11="",0,L11*'💰 Prix matériaux'!$B$11)+IF(M11="",0,M11*'💰 Prix matériaux'!$B$12)+IF(N11="",0,N11*'💰 Prix matériaux'!$B$13)+IF(O11="",0,O11*'💰 Prix matériaux'!$B$15)+IF(P11="",0,P11*'💰 Prix matériaux'!$B$16)</f>
        <v>14</v>
      </c>
      <c r="R11" s="11">
        <f t="shared" si="1"/>
        <v>19</v>
      </c>
    </row>
    <row r="12" ht="15.75" customHeight="1">
      <c r="A12" s="6" t="s">
        <v>4</v>
      </c>
      <c r="B12" s="7" t="s">
        <v>28</v>
      </c>
      <c r="C12" s="9">
        <v>5.0</v>
      </c>
      <c r="D12" s="9">
        <v>2.0</v>
      </c>
      <c r="E12" s="9"/>
      <c r="F12" s="9"/>
      <c r="G12" s="9"/>
      <c r="H12" s="9"/>
      <c r="I12" s="9"/>
      <c r="J12" s="9"/>
      <c r="K12" s="9"/>
      <c r="L12" s="9"/>
      <c r="M12" s="9">
        <v>1.0</v>
      </c>
      <c r="N12" s="9"/>
      <c r="O12" s="9"/>
      <c r="P12" s="9"/>
      <c r="Q12" s="10">
        <f>IF(D12="",0,D12*'💰 Prix matériaux'!$B$3)+IF(E12="",0,E12*'💰 Prix matériaux'!$B$4)+IF(F12="",0,F12*'💰 Prix matériaux'!$B$5)+IF(G12="",0,G12*'💰 Prix matériaux'!$B$6)+IF(H12="",0,H12*'💰 Prix matériaux'!$B$7)+IF(I12="",0,I12*'💰 Prix matériaux'!$B$8)+IF(J12="",0,J12*'💰 Prix matériaux'!$B$9)+IF(K12="",0,K12*'💰 Prix matériaux'!$B$10)+IF(L12="",0,L12*'💰 Prix matériaux'!$B$11)+IF(M12="",0,M12*'💰 Prix matériaux'!$B$12)+IF(N12="",0,N12*'💰 Prix matériaux'!$B$13)+IF(O12="",0,O12*'💰 Prix matériaux'!$B$15)+IF(P12="",0,P12*'💰 Prix matériaux'!$B$16)</f>
        <v>9</v>
      </c>
      <c r="R12" s="11">
        <f t="shared" si="1"/>
        <v>14</v>
      </c>
    </row>
    <row r="13" ht="18.0" customHeight="1">
      <c r="A13" s="5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</row>
    <row r="14" ht="15.75" customHeight="1">
      <c r="A14" s="12" t="s">
        <v>5</v>
      </c>
      <c r="B14" s="13" t="s">
        <v>20</v>
      </c>
      <c r="C14" s="9">
        <v>10.0</v>
      </c>
      <c r="D14" s="9"/>
      <c r="E14" s="9">
        <v>2.0</v>
      </c>
      <c r="F14" s="9"/>
      <c r="G14" s="9"/>
      <c r="H14" s="9"/>
      <c r="I14" s="9"/>
      <c r="J14" s="9"/>
      <c r="K14" s="9">
        <v>8.0</v>
      </c>
      <c r="L14" s="9">
        <v>1.0</v>
      </c>
      <c r="M14" s="9">
        <v>2.0</v>
      </c>
      <c r="N14" s="9"/>
      <c r="O14" s="9"/>
      <c r="P14" s="9"/>
      <c r="Q14" s="10">
        <f>IF(D14="",0,D14*'💰 Prix matériaux'!$B$3)+IF(E14="",0,E14*'💰 Prix matériaux'!$B$4)+IF(F14="",0,F14*'💰 Prix matériaux'!$B$5)+IF(G14="",0,G14*'💰 Prix matériaux'!$B$6)+IF(H14="",0,H14*'💰 Prix matériaux'!$B$7)+IF(I14="",0,I14*'💰 Prix matériaux'!$B$8)+IF(J14="",0,J14*'💰 Prix matériaux'!$B$9)+IF(K14="",0,K14*'💰 Prix matériaux'!$B$10)+IF(L14="",0,L14*'💰 Prix matériaux'!$B$11)+IF(M14="",0,M14*'💰 Prix matériaux'!$B$12)+IF(N14="",0,N14*'💰 Prix matériaux'!$B$13)+IF(O14="",0,O14*'💰 Prix matériaux'!$B$15)+IF(P14="",0,P14*'💰 Prix matériaux'!$B$16)</f>
        <v>28</v>
      </c>
      <c r="R14" s="11">
        <f t="shared" ref="R14:R22" si="2">C14+Q14</f>
        <v>38</v>
      </c>
    </row>
    <row r="15" ht="15.75" customHeight="1">
      <c r="A15" s="12" t="s">
        <v>5</v>
      </c>
      <c r="B15" s="13" t="s">
        <v>21</v>
      </c>
      <c r="C15" s="9">
        <v>10.0</v>
      </c>
      <c r="D15" s="9">
        <v>1.0</v>
      </c>
      <c r="E15" s="9">
        <v>1.0</v>
      </c>
      <c r="F15" s="9"/>
      <c r="G15" s="9"/>
      <c r="H15" s="9"/>
      <c r="I15" s="9"/>
      <c r="J15" s="9"/>
      <c r="K15" s="9"/>
      <c r="L15" s="9"/>
      <c r="M15" s="9">
        <v>1.0</v>
      </c>
      <c r="N15" s="9"/>
      <c r="O15" s="9"/>
      <c r="P15" s="9"/>
      <c r="Q15" s="10">
        <f>IF(D15="",0,D15*'💰 Prix matériaux'!$B$3)+IF(E15="",0,E15*'💰 Prix matériaux'!$B$4)+IF(F15="",0,F15*'💰 Prix matériaux'!$B$5)+IF(G15="",0,G15*'💰 Prix matériaux'!$B$6)+IF(H15="",0,H15*'💰 Prix matériaux'!$B$7)+IF(I15="",0,I15*'💰 Prix matériaux'!$B$8)+IF(J15="",0,J15*'💰 Prix matériaux'!$B$9)+IF(K15="",0,K15*'💰 Prix matériaux'!$B$10)+IF(L15="",0,L15*'💰 Prix matériaux'!$B$11)+IF(M15="",0,M15*'💰 Prix matériaux'!$B$12)+IF(N15="",0,N15*'💰 Prix matériaux'!$B$13)+IF(O15="",0,O15*'💰 Prix matériaux'!$B$15)+IF(P15="",0,P15*'💰 Prix matériaux'!$B$16)</f>
        <v>12</v>
      </c>
      <c r="R15" s="11">
        <f t="shared" si="2"/>
        <v>22</v>
      </c>
    </row>
    <row r="16" ht="15.75" customHeight="1">
      <c r="A16" s="12" t="s">
        <v>5</v>
      </c>
      <c r="B16" s="13" t="s">
        <v>22</v>
      </c>
      <c r="C16" s="9">
        <v>10.0</v>
      </c>
      <c r="D16" s="9">
        <v>2.0</v>
      </c>
      <c r="E16" s="9">
        <v>4.0</v>
      </c>
      <c r="F16" s="9"/>
      <c r="G16" s="9"/>
      <c r="H16" s="9"/>
      <c r="I16" s="9"/>
      <c r="J16" s="9"/>
      <c r="K16" s="9"/>
      <c r="L16" s="9"/>
      <c r="M16" s="9">
        <v>3.0</v>
      </c>
      <c r="N16" s="9"/>
      <c r="O16" s="9"/>
      <c r="P16" s="9"/>
      <c r="Q16" s="10">
        <f>IF(D16="",0,D16*'💰 Prix matériaux'!$B$3)+IF(E16="",0,E16*'💰 Prix matériaux'!$B$4)+IF(F16="",0,F16*'💰 Prix matériaux'!$B$5)+IF(G16="",0,G16*'💰 Prix matériaux'!$B$6)+IF(H16="",0,H16*'💰 Prix matériaux'!$B$7)+IF(I16="",0,I16*'💰 Prix matériaux'!$B$8)+IF(J16="",0,J16*'💰 Prix matériaux'!$B$9)+IF(K16="",0,K16*'💰 Prix matériaux'!$B$10)+IF(L16="",0,L16*'💰 Prix matériaux'!$B$11)+IF(M16="",0,M16*'💰 Prix matériaux'!$B$12)+IF(N16="",0,N16*'💰 Prix matériaux'!$B$13)+IF(O16="",0,O16*'💰 Prix matériaux'!$B$15)+IF(P16="",0,P16*'💰 Prix matériaux'!$B$16)</f>
        <v>39</v>
      </c>
      <c r="R16" s="11">
        <f t="shared" si="2"/>
        <v>49</v>
      </c>
    </row>
    <row r="17" ht="15.75" customHeight="1">
      <c r="A17" s="12" t="s">
        <v>5</v>
      </c>
      <c r="B17" s="13" t="s">
        <v>23</v>
      </c>
      <c r="C17" s="9">
        <v>10.0</v>
      </c>
      <c r="D17" s="9"/>
      <c r="E17" s="9">
        <v>1.0</v>
      </c>
      <c r="F17" s="9"/>
      <c r="G17" s="9"/>
      <c r="H17" s="9"/>
      <c r="I17" s="9"/>
      <c r="J17" s="9"/>
      <c r="K17" s="9">
        <v>1.0</v>
      </c>
      <c r="L17" s="9"/>
      <c r="M17" s="9"/>
      <c r="N17" s="9"/>
      <c r="O17" s="9"/>
      <c r="P17" s="9"/>
      <c r="Q17" s="10">
        <f>IF(D17="",0,D17*'💰 Prix matériaux'!$B$3)+IF(E17="",0,E17*'💰 Prix matériaux'!$B$4)+IF(F17="",0,F17*'💰 Prix matériaux'!$B$5)+IF(G17="",0,G17*'💰 Prix matériaux'!$B$6)+IF(H17="",0,H17*'💰 Prix matériaux'!$B$7)+IF(I17="",0,I17*'💰 Prix matériaux'!$B$8)+IF(J17="",0,J17*'💰 Prix matériaux'!$B$9)+IF(K17="",0,K17*'💰 Prix matériaux'!$B$10)+IF(L17="",0,L17*'💰 Prix matériaux'!$B$11)+IF(M17="",0,M17*'💰 Prix matériaux'!$B$12)+IF(N17="",0,N17*'💰 Prix matériaux'!$B$13)+IF(O17="",0,O17*'💰 Prix matériaux'!$B$15)+IF(P17="",0,P17*'💰 Prix matériaux'!$B$16)</f>
        <v>8</v>
      </c>
      <c r="R17" s="11">
        <f t="shared" si="2"/>
        <v>18</v>
      </c>
    </row>
    <row r="18" ht="15.75" customHeight="1">
      <c r="A18" s="12" t="s">
        <v>5</v>
      </c>
      <c r="B18" s="13" t="s">
        <v>25</v>
      </c>
      <c r="C18" s="9">
        <v>10.0</v>
      </c>
      <c r="D18" s="9">
        <v>1.0</v>
      </c>
      <c r="E18" s="9">
        <v>2.0</v>
      </c>
      <c r="F18" s="9"/>
      <c r="G18" s="9"/>
      <c r="H18" s="9"/>
      <c r="I18" s="9"/>
      <c r="J18" s="9"/>
      <c r="K18" s="9"/>
      <c r="L18" s="9"/>
      <c r="M18" s="9">
        <v>2.0</v>
      </c>
      <c r="N18" s="9"/>
      <c r="O18" s="9"/>
      <c r="P18" s="9"/>
      <c r="Q18" s="10">
        <f>IF(D18="",0,D18*'💰 Prix matériaux'!$B$3)+IF(E18="",0,E18*'💰 Prix matériaux'!$B$4)+IF(F18="",0,F18*'💰 Prix matériaux'!$B$5)+IF(G18="",0,G18*'💰 Prix matériaux'!$B$6)+IF(H18="",0,H18*'💰 Prix matériaux'!$B$7)+IF(I18="",0,I18*'💰 Prix matériaux'!$B$8)+IF(J18="",0,J18*'💰 Prix matériaux'!$B$9)+IF(K18="",0,K18*'💰 Prix matériaux'!$B$10)+IF(L18="",0,L18*'💰 Prix matériaux'!$B$11)+IF(M18="",0,M18*'💰 Prix matériaux'!$B$12)+IF(N18="",0,N18*'💰 Prix matériaux'!$B$13)+IF(O18="",0,O18*'💰 Prix matériaux'!$B$15)+IF(P18="",0,P18*'💰 Prix matériaux'!$B$16)</f>
        <v>20</v>
      </c>
      <c r="R18" s="11">
        <f t="shared" si="2"/>
        <v>30</v>
      </c>
    </row>
    <row r="19" ht="15.75" customHeight="1">
      <c r="A19" s="12" t="s">
        <v>5</v>
      </c>
      <c r="B19" s="13" t="s">
        <v>24</v>
      </c>
      <c r="C19" s="9">
        <v>15.0</v>
      </c>
      <c r="D19" s="9">
        <v>1.0</v>
      </c>
      <c r="E19" s="9">
        <v>4.0</v>
      </c>
      <c r="F19" s="9"/>
      <c r="G19" s="9"/>
      <c r="H19" s="9"/>
      <c r="I19" s="9"/>
      <c r="J19" s="9"/>
      <c r="K19" s="9"/>
      <c r="L19" s="9"/>
      <c r="M19" s="9">
        <v>2.0</v>
      </c>
      <c r="N19" s="9"/>
      <c r="O19" s="9"/>
      <c r="P19" s="9"/>
      <c r="Q19" s="10">
        <f>IF(D19="",0,D19*'💰 Prix matériaux'!$B$3)+IF(E19="",0,E19*'💰 Prix matériaux'!$B$4)+IF(F19="",0,F19*'💰 Prix matériaux'!$B$5)+IF(G19="",0,G19*'💰 Prix matériaux'!$B$6)+IF(H19="",0,H19*'💰 Prix matériaux'!$B$7)+IF(I19="",0,I19*'💰 Prix matériaux'!$B$8)+IF(J19="",0,J19*'💰 Prix matériaux'!$B$9)+IF(K19="",0,K19*'💰 Prix matériaux'!$B$10)+IF(L19="",0,L19*'💰 Prix matériaux'!$B$11)+IF(M19="",0,M19*'💰 Prix matériaux'!$B$12)+IF(N19="",0,N19*'💰 Prix matériaux'!$B$13)+IF(O19="",0,O19*'💰 Prix matériaux'!$B$15)+IF(P19="",0,P19*'💰 Prix matériaux'!$B$16)</f>
        <v>34</v>
      </c>
      <c r="R19" s="11">
        <f t="shared" si="2"/>
        <v>49</v>
      </c>
    </row>
    <row r="20" ht="15.75" customHeight="1">
      <c r="A20" s="12" t="s">
        <v>5</v>
      </c>
      <c r="B20" s="13" t="s">
        <v>26</v>
      </c>
      <c r="C20" s="9">
        <v>10.0</v>
      </c>
      <c r="D20" s="9">
        <v>1.0</v>
      </c>
      <c r="E20" s="9">
        <v>4.0</v>
      </c>
      <c r="F20" s="9"/>
      <c r="G20" s="9"/>
      <c r="H20" s="9"/>
      <c r="I20" s="9"/>
      <c r="J20" s="9"/>
      <c r="K20" s="9"/>
      <c r="L20" s="9"/>
      <c r="M20" s="9">
        <v>3.0</v>
      </c>
      <c r="N20" s="9"/>
      <c r="O20" s="9"/>
      <c r="P20" s="9"/>
      <c r="Q20" s="10">
        <f>IF(D20="",0,D20*'💰 Prix matériaux'!$B$3)+IF(E20="",0,E20*'💰 Prix matériaux'!$B$4)+IF(F20="",0,F20*'💰 Prix matériaux'!$B$5)+IF(G20="",0,G20*'💰 Prix matériaux'!$B$6)+IF(H20="",0,H20*'💰 Prix matériaux'!$B$7)+IF(I20="",0,I20*'💰 Prix matériaux'!$B$8)+IF(J20="",0,J20*'💰 Prix matériaux'!$B$9)+IF(K20="",0,K20*'💰 Prix matériaux'!$B$10)+IF(L20="",0,L20*'💰 Prix matériaux'!$B$11)+IF(M20="",0,M20*'💰 Prix matériaux'!$B$12)+IF(N20="",0,N20*'💰 Prix matériaux'!$B$13)+IF(O20="",0,O20*'💰 Prix matériaux'!$B$15)+IF(P20="",0,P20*'💰 Prix matériaux'!$B$16)</f>
        <v>35</v>
      </c>
      <c r="R20" s="11">
        <f t="shared" si="2"/>
        <v>45</v>
      </c>
    </row>
    <row r="21" ht="15.75" customHeight="1">
      <c r="A21" s="12" t="s">
        <v>5</v>
      </c>
      <c r="B21" s="13" t="s">
        <v>27</v>
      </c>
      <c r="C21" s="9">
        <v>10.0</v>
      </c>
      <c r="D21" s="9">
        <v>1.0</v>
      </c>
      <c r="E21" s="9">
        <v>3.0</v>
      </c>
      <c r="F21" s="9"/>
      <c r="G21" s="9"/>
      <c r="H21" s="9"/>
      <c r="I21" s="9"/>
      <c r="J21" s="9"/>
      <c r="K21" s="9"/>
      <c r="L21" s="9"/>
      <c r="M21" s="9">
        <v>1.0</v>
      </c>
      <c r="N21" s="9"/>
      <c r="O21" s="9"/>
      <c r="P21" s="9"/>
      <c r="Q21" s="10">
        <f>IF(D21="",0,D21*'💰 Prix matériaux'!$B$3)+IF(E21="",0,E21*'💰 Prix matériaux'!$B$4)+IF(F21="",0,F21*'💰 Prix matériaux'!$B$5)+IF(G21="",0,G21*'💰 Prix matériaux'!$B$6)+IF(H21="",0,H21*'💰 Prix matériaux'!$B$7)+IF(I21="",0,I21*'💰 Prix matériaux'!$B$8)+IF(J21="",0,J21*'💰 Prix matériaux'!$B$9)+IF(K21="",0,K21*'💰 Prix matériaux'!$B$10)+IF(L21="",0,L21*'💰 Prix matériaux'!$B$11)+IF(M21="",0,M21*'💰 Prix matériaux'!$B$12)+IF(N21="",0,N21*'💰 Prix matériaux'!$B$13)+IF(O21="",0,O21*'💰 Prix matériaux'!$B$15)+IF(P21="",0,P21*'💰 Prix matériaux'!$B$16)</f>
        <v>26</v>
      </c>
      <c r="R21" s="11">
        <f t="shared" si="2"/>
        <v>36</v>
      </c>
    </row>
    <row r="22" ht="15.75" customHeight="1">
      <c r="A22" s="12" t="s">
        <v>5</v>
      </c>
      <c r="B22" s="13" t="s">
        <v>28</v>
      </c>
      <c r="C22" s="9">
        <v>10.0</v>
      </c>
      <c r="D22" s="9">
        <v>1.0</v>
      </c>
      <c r="E22" s="9">
        <v>2.0</v>
      </c>
      <c r="F22" s="9"/>
      <c r="G22" s="9"/>
      <c r="H22" s="9"/>
      <c r="I22" s="9"/>
      <c r="J22" s="9"/>
      <c r="K22" s="9"/>
      <c r="L22" s="9"/>
      <c r="M22" s="9">
        <v>1.0</v>
      </c>
      <c r="N22" s="9"/>
      <c r="O22" s="9"/>
      <c r="P22" s="9"/>
      <c r="Q22" s="10">
        <f>IF(D22="",0,D22*'💰 Prix matériaux'!$B$3)+IF(E22="",0,E22*'💰 Prix matériaux'!$B$4)+IF(F22="",0,F22*'💰 Prix matériaux'!$B$5)+IF(G22="",0,G22*'💰 Prix matériaux'!$B$6)+IF(H22="",0,H22*'💰 Prix matériaux'!$B$7)+IF(I22="",0,I22*'💰 Prix matériaux'!$B$8)+IF(J22="",0,J22*'💰 Prix matériaux'!$B$9)+IF(K22="",0,K22*'💰 Prix matériaux'!$B$10)+IF(L22="",0,L22*'💰 Prix matériaux'!$B$11)+IF(M22="",0,M22*'💰 Prix matériaux'!$B$12)+IF(N22="",0,N22*'💰 Prix matériaux'!$B$13)+IF(O22="",0,O22*'💰 Prix matériaux'!$B$15)+IF(P22="",0,P22*'💰 Prix matériaux'!$B$16)</f>
        <v>19</v>
      </c>
      <c r="R22" s="11">
        <f t="shared" si="2"/>
        <v>29</v>
      </c>
    </row>
    <row r="23" ht="18.0" customHeight="1">
      <c r="A23" s="5" t="s">
        <v>30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</row>
    <row r="24" ht="15.75" customHeight="1">
      <c r="A24" s="14" t="s">
        <v>31</v>
      </c>
      <c r="B24" s="15" t="s">
        <v>20</v>
      </c>
      <c r="C24" s="9">
        <v>30.0</v>
      </c>
      <c r="D24" s="9"/>
      <c r="E24" s="9"/>
      <c r="F24" s="9"/>
      <c r="G24" s="9">
        <v>1.0</v>
      </c>
      <c r="H24" s="9"/>
      <c r="I24" s="9">
        <v>2.0</v>
      </c>
      <c r="J24" s="9"/>
      <c r="K24" s="9"/>
      <c r="L24" s="9"/>
      <c r="M24" s="9"/>
      <c r="N24" s="9"/>
      <c r="O24" s="9"/>
      <c r="P24" s="9"/>
      <c r="Q24" s="10">
        <f>IF(D24="",0,D24*'💰 Prix matériaux'!$B$3)+IF(E24="",0,E24*'💰 Prix matériaux'!$B$4)+IF(F24="",0,F24*'💰 Prix matériaux'!$B$5)+IF(G24="",0,G24*'💰 Prix matériaux'!$B$6)+IF(H24="",0,H24*'💰 Prix matériaux'!$B$7)+IF(I24="",0,I24*'💰 Prix matériaux'!$B$8)+IF(J24="",0,J24*'💰 Prix matériaux'!$B$9)+IF(K24="",0,K24*'💰 Prix matériaux'!$B$10)+IF(L24="",0,L24*'💰 Prix matériaux'!$B$11)+IF(M24="",0,M24*'💰 Prix matériaux'!$B$12)+IF(N24="",0,N24*'💰 Prix matériaux'!$B$13)+IF(O24="",0,O24*'💰 Prix matériaux'!$B$15)+IF(P24="",0,P24*'💰 Prix matériaux'!$B$16)</f>
        <v>74</v>
      </c>
      <c r="R24" s="11">
        <f t="shared" ref="R24:R32" si="3">C24+Q24</f>
        <v>104</v>
      </c>
    </row>
    <row r="25" ht="15.75" customHeight="1">
      <c r="A25" s="14" t="s">
        <v>31</v>
      </c>
      <c r="B25" s="15" t="s">
        <v>21</v>
      </c>
      <c r="C25" s="9">
        <v>30.0</v>
      </c>
      <c r="D25" s="9">
        <v>1.0</v>
      </c>
      <c r="E25" s="9"/>
      <c r="F25" s="9"/>
      <c r="G25" s="9">
        <v>1.0</v>
      </c>
      <c r="H25" s="9"/>
      <c r="I25" s="9">
        <v>1.0</v>
      </c>
      <c r="J25" s="9"/>
      <c r="K25" s="9"/>
      <c r="L25" s="9"/>
      <c r="M25" s="9">
        <v>1.0</v>
      </c>
      <c r="N25" s="9"/>
      <c r="O25" s="9"/>
      <c r="P25" s="9"/>
      <c r="Q25" s="10">
        <f>IF(D25="",0,D25*'💰 Prix matériaux'!$B$3)+IF(E25="",0,E25*'💰 Prix matériaux'!$B$4)+IF(F25="",0,F25*'💰 Prix matériaux'!$B$5)+IF(G25="",0,G25*'💰 Prix matériaux'!$B$6)+IF(H25="",0,H25*'💰 Prix matériaux'!$B$7)+IF(I25="",0,I25*'💰 Prix matériaux'!$B$8)+IF(J25="",0,J25*'💰 Prix matériaux'!$B$9)+IF(K25="",0,K25*'💰 Prix matériaux'!$B$10)+IF(L25="",0,L25*'💰 Prix matériaux'!$B$11)+IF(M25="",0,M25*'💰 Prix matériaux'!$B$12)+IF(N25="",0,N25*'💰 Prix matériaux'!$B$13)+IF(O25="",0,O25*'💰 Prix matériaux'!$B$15)+IF(P25="",0,P25*'💰 Prix matériaux'!$B$16)</f>
        <v>55</v>
      </c>
      <c r="R25" s="11">
        <f t="shared" si="3"/>
        <v>85</v>
      </c>
    </row>
    <row r="26" ht="15.75" customHeight="1">
      <c r="A26" s="14" t="s">
        <v>31</v>
      </c>
      <c r="B26" s="15" t="s">
        <v>22</v>
      </c>
      <c r="C26" s="9">
        <v>30.0</v>
      </c>
      <c r="D26" s="9">
        <v>2.0</v>
      </c>
      <c r="E26" s="9"/>
      <c r="F26" s="9"/>
      <c r="G26" s="9">
        <v>1.0</v>
      </c>
      <c r="H26" s="9"/>
      <c r="I26" s="9">
        <v>2.0</v>
      </c>
      <c r="J26" s="9"/>
      <c r="K26" s="9"/>
      <c r="L26" s="9"/>
      <c r="M26" s="9">
        <v>3.0</v>
      </c>
      <c r="N26" s="9"/>
      <c r="O26" s="9"/>
      <c r="P26" s="9"/>
      <c r="Q26" s="10">
        <f>IF(D26="",0,D26*'💰 Prix matériaux'!$B$3)+IF(E26="",0,E26*'💰 Prix matériaux'!$B$4)+IF(F26="",0,F26*'💰 Prix matériaux'!$B$5)+IF(G26="",0,G26*'💰 Prix matériaux'!$B$6)+IF(H26="",0,H26*'💰 Prix matériaux'!$B$7)+IF(I26="",0,I26*'💰 Prix matériaux'!$B$8)+IF(J26="",0,J26*'💰 Prix matériaux'!$B$9)+IF(K26="",0,K26*'💰 Prix matériaux'!$B$10)+IF(L26="",0,L26*'💰 Prix matériaux'!$B$11)+IF(M26="",0,M26*'💰 Prix matériaux'!$B$12)+IF(N26="",0,N26*'💰 Prix matériaux'!$B$13)+IF(O26="",0,O26*'💰 Prix matériaux'!$B$15)+IF(P26="",0,P26*'💰 Prix matériaux'!$B$16)</f>
        <v>85</v>
      </c>
      <c r="R26" s="11">
        <f t="shared" si="3"/>
        <v>115</v>
      </c>
    </row>
    <row r="27" ht="15.75" customHeight="1">
      <c r="A27" s="14" t="s">
        <v>31</v>
      </c>
      <c r="B27" s="15" t="s">
        <v>23</v>
      </c>
      <c r="C27" s="9">
        <v>30.0</v>
      </c>
      <c r="D27" s="9"/>
      <c r="E27" s="9"/>
      <c r="F27" s="9"/>
      <c r="G27" s="9"/>
      <c r="H27" s="9"/>
      <c r="I27" s="9">
        <v>1.0</v>
      </c>
      <c r="J27" s="9"/>
      <c r="K27" s="9">
        <v>1.0</v>
      </c>
      <c r="L27" s="9"/>
      <c r="M27" s="9"/>
      <c r="N27" s="9"/>
      <c r="O27" s="9"/>
      <c r="P27" s="9"/>
      <c r="Q27" s="10">
        <f>IF(D27="",0,D27*'💰 Prix matériaux'!$B$3)+IF(E27="",0,E27*'💰 Prix matériaux'!$B$4)+IF(F27="",0,F27*'💰 Prix matériaux'!$B$5)+IF(G27="",0,G27*'💰 Prix matériaux'!$B$6)+IF(H27="",0,H27*'💰 Prix matériaux'!$B$7)+IF(I27="",0,I27*'💰 Prix matériaux'!$B$8)+IF(J27="",0,J27*'💰 Prix matériaux'!$B$9)+IF(K27="",0,K27*'💰 Prix matériaux'!$B$10)+IF(L27="",0,L27*'💰 Prix matériaux'!$B$11)+IF(M27="",0,M27*'💰 Prix matériaux'!$B$12)+IF(N27="",0,N27*'💰 Prix matériaux'!$B$13)+IF(O27="",0,O27*'💰 Prix matériaux'!$B$15)+IF(P27="",0,P27*'💰 Prix matériaux'!$B$16)</f>
        <v>25</v>
      </c>
      <c r="R27" s="11">
        <f t="shared" si="3"/>
        <v>55</v>
      </c>
    </row>
    <row r="28" ht="15.75" customHeight="1">
      <c r="A28" s="14" t="s">
        <v>31</v>
      </c>
      <c r="B28" s="15" t="s">
        <v>24</v>
      </c>
      <c r="C28" s="9">
        <v>30.0</v>
      </c>
      <c r="D28" s="9">
        <v>2.0</v>
      </c>
      <c r="E28" s="9"/>
      <c r="F28" s="9"/>
      <c r="G28" s="9">
        <v>1.0</v>
      </c>
      <c r="H28" s="9"/>
      <c r="I28" s="9">
        <v>2.0</v>
      </c>
      <c r="J28" s="9"/>
      <c r="K28" s="9"/>
      <c r="L28" s="9"/>
      <c r="M28" s="9">
        <v>2.0</v>
      </c>
      <c r="N28" s="9"/>
      <c r="O28" s="9"/>
      <c r="P28" s="9"/>
      <c r="Q28" s="10">
        <f>IF(D28="",0,D28*'💰 Prix matériaux'!$B$3)+IF(E28="",0,E28*'💰 Prix matériaux'!$B$4)+IF(F28="",0,F28*'💰 Prix matériaux'!$B$5)+IF(G28="",0,G28*'💰 Prix matériaux'!$B$6)+IF(H28="",0,H28*'💰 Prix matériaux'!$B$7)+IF(I28="",0,I28*'💰 Prix matériaux'!$B$8)+IF(J28="",0,J28*'💰 Prix matériaux'!$B$9)+IF(K28="",0,K28*'💰 Prix matériaux'!$B$10)+IF(L28="",0,L28*'💰 Prix matériaux'!$B$11)+IF(M28="",0,M28*'💰 Prix matériaux'!$B$12)+IF(N28="",0,N28*'💰 Prix matériaux'!$B$13)+IF(O28="",0,O28*'💰 Prix matériaux'!$B$15)+IF(P28="",0,P28*'💰 Prix matériaux'!$B$16)</f>
        <v>84</v>
      </c>
      <c r="R28" s="11">
        <f t="shared" si="3"/>
        <v>114</v>
      </c>
    </row>
    <row r="29" ht="15.75" customHeight="1">
      <c r="A29" s="14" t="s">
        <v>31</v>
      </c>
      <c r="B29" s="15" t="s">
        <v>25</v>
      </c>
      <c r="C29" s="9">
        <v>30.0</v>
      </c>
      <c r="D29" s="9">
        <v>1.0</v>
      </c>
      <c r="E29" s="9"/>
      <c r="F29" s="9"/>
      <c r="G29" s="9">
        <v>1.0</v>
      </c>
      <c r="H29" s="9"/>
      <c r="I29" s="9">
        <v>1.0</v>
      </c>
      <c r="J29" s="9"/>
      <c r="K29" s="9"/>
      <c r="L29" s="9"/>
      <c r="M29" s="9">
        <v>2.0</v>
      </c>
      <c r="N29" s="9"/>
      <c r="O29" s="9"/>
      <c r="P29" s="9"/>
      <c r="Q29" s="10">
        <f>IF(D29="",0,D29*'💰 Prix matériaux'!$B$3)+IF(E29="",0,E29*'💰 Prix matériaux'!$B$4)+IF(F29="",0,F29*'💰 Prix matériaux'!$B$5)+IF(G29="",0,G29*'💰 Prix matériaux'!$B$6)+IF(H29="",0,H29*'💰 Prix matériaux'!$B$7)+IF(I29="",0,I29*'💰 Prix matériaux'!$B$8)+IF(J29="",0,J29*'💰 Prix matériaux'!$B$9)+IF(K29="",0,K29*'💰 Prix matériaux'!$B$10)+IF(L29="",0,L29*'💰 Prix matériaux'!$B$11)+IF(M29="",0,M29*'💰 Prix matériaux'!$B$12)+IF(N29="",0,N29*'💰 Prix matériaux'!$B$13)+IF(O29="",0,O29*'💰 Prix matériaux'!$B$15)+IF(P29="",0,P29*'💰 Prix matériaux'!$B$16)</f>
        <v>56</v>
      </c>
      <c r="R29" s="11">
        <f t="shared" si="3"/>
        <v>86</v>
      </c>
    </row>
    <row r="30" ht="15.75" customHeight="1">
      <c r="A30" s="14" t="s">
        <v>31</v>
      </c>
      <c r="B30" s="15" t="s">
        <v>26</v>
      </c>
      <c r="C30" s="9">
        <v>30.0</v>
      </c>
      <c r="D30" s="9">
        <v>2.0</v>
      </c>
      <c r="E30" s="9"/>
      <c r="F30" s="9"/>
      <c r="G30" s="9">
        <v>1.0</v>
      </c>
      <c r="H30" s="9"/>
      <c r="I30" s="9">
        <v>2.0</v>
      </c>
      <c r="J30" s="9"/>
      <c r="K30" s="9"/>
      <c r="L30" s="9"/>
      <c r="M30" s="9">
        <v>3.0</v>
      </c>
      <c r="N30" s="9"/>
      <c r="O30" s="9"/>
      <c r="P30" s="9"/>
      <c r="Q30" s="10">
        <f>IF(D30="",0,D30*'💰 Prix matériaux'!$B$3)+IF(E30="",0,E30*'💰 Prix matériaux'!$B$4)+IF(F30="",0,F30*'💰 Prix matériaux'!$B$5)+IF(G30="",0,G30*'💰 Prix matériaux'!$B$6)+IF(H30="",0,H30*'💰 Prix matériaux'!$B$7)+IF(I30="",0,I30*'💰 Prix matériaux'!$B$8)+IF(J30="",0,J30*'💰 Prix matériaux'!$B$9)+IF(K30="",0,K30*'💰 Prix matériaux'!$B$10)+IF(L30="",0,L30*'💰 Prix matériaux'!$B$11)+IF(M30="",0,M30*'💰 Prix matériaux'!$B$12)+IF(N30="",0,N30*'💰 Prix matériaux'!$B$13)+IF(O30="",0,O30*'💰 Prix matériaux'!$B$15)+IF(P30="",0,P30*'💰 Prix matériaux'!$B$16)</f>
        <v>85</v>
      </c>
      <c r="R30" s="11">
        <f t="shared" si="3"/>
        <v>115</v>
      </c>
    </row>
    <row r="31" ht="15.75" customHeight="1">
      <c r="A31" s="14" t="s">
        <v>31</v>
      </c>
      <c r="B31" s="15" t="s">
        <v>27</v>
      </c>
      <c r="C31" s="9">
        <v>30.0</v>
      </c>
      <c r="D31" s="9">
        <v>1.0</v>
      </c>
      <c r="E31" s="9"/>
      <c r="F31" s="9"/>
      <c r="G31" s="9">
        <v>1.0</v>
      </c>
      <c r="H31" s="9"/>
      <c r="I31" s="9">
        <v>2.0</v>
      </c>
      <c r="J31" s="9"/>
      <c r="K31" s="9"/>
      <c r="L31" s="9"/>
      <c r="M31" s="9">
        <v>1.0</v>
      </c>
      <c r="N31" s="9"/>
      <c r="O31" s="9"/>
      <c r="P31" s="9"/>
      <c r="Q31" s="10">
        <f>IF(D31="",0,D31*'💰 Prix matériaux'!$B$3)+IF(E31="",0,E31*'💰 Prix matériaux'!$B$4)+IF(F31="",0,F31*'💰 Prix matériaux'!$B$5)+IF(G31="",0,G31*'💰 Prix matériaux'!$B$6)+IF(H31="",0,H31*'💰 Prix matériaux'!$B$7)+IF(I31="",0,I31*'💰 Prix matériaux'!$B$8)+IF(J31="",0,J31*'💰 Prix matériaux'!$B$9)+IF(K31="",0,K31*'💰 Prix matériaux'!$B$10)+IF(L31="",0,L31*'💰 Prix matériaux'!$B$11)+IF(M31="",0,M31*'💰 Prix matériaux'!$B$12)+IF(N31="",0,N31*'💰 Prix matériaux'!$B$13)+IF(O31="",0,O31*'💰 Prix matériaux'!$B$15)+IF(P31="",0,P31*'💰 Prix matériaux'!$B$16)</f>
        <v>79</v>
      </c>
      <c r="R31" s="11">
        <f t="shared" si="3"/>
        <v>109</v>
      </c>
    </row>
    <row r="32" ht="15.75" customHeight="1">
      <c r="A32" s="14" t="s">
        <v>31</v>
      </c>
      <c r="B32" s="15" t="s">
        <v>28</v>
      </c>
      <c r="C32" s="9">
        <v>30.0</v>
      </c>
      <c r="D32" s="9">
        <v>1.0</v>
      </c>
      <c r="E32" s="9"/>
      <c r="F32" s="9"/>
      <c r="G32" s="9">
        <v>1.0</v>
      </c>
      <c r="H32" s="9"/>
      <c r="I32" s="9">
        <v>1.0</v>
      </c>
      <c r="J32" s="9"/>
      <c r="K32" s="9"/>
      <c r="L32" s="9"/>
      <c r="M32" s="9">
        <v>1.0</v>
      </c>
      <c r="N32" s="9"/>
      <c r="O32" s="9"/>
      <c r="P32" s="9"/>
      <c r="Q32" s="10">
        <f>IF(D32="",0,D32*'💰 Prix matériaux'!$B$3)+IF(E32="",0,E32*'💰 Prix matériaux'!$B$4)+IF(F32="",0,F32*'💰 Prix matériaux'!$B$5)+IF(G32="",0,G32*'💰 Prix matériaux'!$B$6)+IF(H32="",0,H32*'💰 Prix matériaux'!$B$7)+IF(I32="",0,I32*'💰 Prix matériaux'!$B$8)+IF(J32="",0,J32*'💰 Prix matériaux'!$B$9)+IF(K32="",0,K32*'💰 Prix matériaux'!$B$10)+IF(L32="",0,L32*'💰 Prix matériaux'!$B$11)+IF(M32="",0,M32*'💰 Prix matériaux'!$B$12)+IF(N32="",0,N32*'💰 Prix matériaux'!$B$13)+IF(O32="",0,O32*'💰 Prix matériaux'!$B$15)+IF(P32="",0,P32*'💰 Prix matériaux'!$B$16)</f>
        <v>55</v>
      </c>
      <c r="R32" s="11">
        <f t="shared" si="3"/>
        <v>85</v>
      </c>
    </row>
    <row r="33" ht="18.0" customHeight="1">
      <c r="A33" s="5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</row>
    <row r="34" ht="15.75" customHeight="1">
      <c r="A34" s="16" t="s">
        <v>33</v>
      </c>
      <c r="B34" s="17" t="s">
        <v>20</v>
      </c>
      <c r="C34" s="9">
        <v>30.0</v>
      </c>
      <c r="D34" s="9"/>
      <c r="E34" s="9"/>
      <c r="F34" s="9"/>
      <c r="G34" s="9">
        <v>1.0</v>
      </c>
      <c r="H34" s="9"/>
      <c r="I34" s="9">
        <v>2.0</v>
      </c>
      <c r="J34" s="9"/>
      <c r="K34" s="9"/>
      <c r="L34" s="9"/>
      <c r="M34" s="9"/>
      <c r="N34" s="9"/>
      <c r="O34" s="9"/>
      <c r="P34" s="9"/>
      <c r="Q34" s="10">
        <f>IF(D34="",0,D34*'💰 Prix matériaux'!$B$3)+IF(E34="",0,E34*'💰 Prix matériaux'!$B$4)+IF(F34="",0,F34*'💰 Prix matériaux'!$B$5)+IF(G34="",0,G34*'💰 Prix matériaux'!$B$6)+IF(H34="",0,H34*'💰 Prix matériaux'!$B$7)+IF(I34="",0,I34*'💰 Prix matériaux'!$B$8)+IF(J34="",0,J34*'💰 Prix matériaux'!$B$9)+IF(K34="",0,K34*'💰 Prix matériaux'!$B$10)+IF(L34="",0,L34*'💰 Prix matériaux'!$B$11)+IF(M34="",0,M34*'💰 Prix matériaux'!$B$12)+IF(N34="",0,N34*'💰 Prix matériaux'!$B$13)+IF(O34="",0,O34*'💰 Prix matériaux'!$B$15)+IF(P34="",0,P34*'💰 Prix matériaux'!$B$16)</f>
        <v>74</v>
      </c>
      <c r="R34" s="11">
        <f t="shared" ref="R34:R35" si="4">C34+Q34</f>
        <v>104</v>
      </c>
    </row>
    <row r="35" ht="15.75" customHeight="1">
      <c r="A35" s="16" t="s">
        <v>33</v>
      </c>
      <c r="B35" s="17" t="s">
        <v>28</v>
      </c>
      <c r="C35" s="9">
        <v>30.0</v>
      </c>
      <c r="D35" s="9">
        <v>1.0</v>
      </c>
      <c r="E35" s="9"/>
      <c r="F35" s="9"/>
      <c r="G35" s="9">
        <v>1.0</v>
      </c>
      <c r="H35" s="9"/>
      <c r="I35" s="9">
        <v>1.0</v>
      </c>
      <c r="J35" s="9"/>
      <c r="K35" s="9"/>
      <c r="L35" s="9"/>
      <c r="M35" s="9">
        <v>1.0</v>
      </c>
      <c r="N35" s="9"/>
      <c r="O35" s="9"/>
      <c r="P35" s="9"/>
      <c r="Q35" s="10">
        <f>IF(D35="",0,D35*'💰 Prix matériaux'!$B$3)+IF(E35="",0,E35*'💰 Prix matériaux'!$B$4)+IF(F35="",0,F35*'💰 Prix matériaux'!$B$5)+IF(G35="",0,G35*'💰 Prix matériaux'!$B$6)+IF(H35="",0,H35*'💰 Prix matériaux'!$B$7)+IF(I35="",0,I35*'💰 Prix matériaux'!$B$8)+IF(J35="",0,J35*'💰 Prix matériaux'!$B$9)+IF(K35="",0,K35*'💰 Prix matériaux'!$B$10)+IF(L35="",0,L35*'💰 Prix matériaux'!$B$11)+IF(M35="",0,M35*'💰 Prix matériaux'!$B$12)+IF(N35="",0,N35*'💰 Prix matériaux'!$B$13)+IF(O35="",0,O35*'💰 Prix matériaux'!$B$15)+IF(P35="",0,P35*'💰 Prix matériaux'!$B$16)</f>
        <v>55</v>
      </c>
      <c r="R35" s="11">
        <f t="shared" si="4"/>
        <v>85</v>
      </c>
    </row>
    <row r="36" ht="18.0" customHeight="1">
      <c r="A36" s="5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</row>
    <row r="37" ht="15.75" customHeight="1">
      <c r="A37" s="6" t="s">
        <v>35</v>
      </c>
      <c r="B37" s="7" t="s">
        <v>20</v>
      </c>
      <c r="C37" s="9">
        <v>15.0</v>
      </c>
      <c r="D37" s="9"/>
      <c r="E37" s="9">
        <v>3.0</v>
      </c>
      <c r="F37" s="9"/>
      <c r="G37" s="9"/>
      <c r="H37" s="9"/>
      <c r="I37" s="9"/>
      <c r="J37" s="9"/>
      <c r="K37" s="9"/>
      <c r="L37" s="9"/>
      <c r="M37" s="9">
        <v>1.0</v>
      </c>
      <c r="N37" s="9"/>
      <c r="O37" s="9"/>
      <c r="P37" s="9"/>
      <c r="Q37" s="10">
        <f>IF(D37="",0,D37*'💰 Prix matériaux'!$B$3)+IF(E37="",0,E37*'💰 Prix matériaux'!$B$4)+IF(F37="",0,F37*'💰 Prix matériaux'!$B$5)+IF(G37="",0,G37*'💰 Prix matériaux'!$B$6)+IF(H37="",0,H37*'💰 Prix matériaux'!$B$7)+IF(I37="",0,I37*'💰 Prix matériaux'!$B$8)+IF(J37="",0,J37*'💰 Prix matériaux'!$B$9)+IF(K37="",0,K37*'💰 Prix matériaux'!$B$10)+IF(L37="",0,L37*'💰 Prix matériaux'!$B$11)+IF(M37="",0,M37*'💰 Prix matériaux'!$B$12)+IF(N37="",0,N37*'💰 Prix matériaux'!$B$13)+IF(O37="",0,O37*'💰 Prix matériaux'!$B$15)+IF(P37="",0,P37*'💰 Prix matériaux'!$B$16)</f>
        <v>22</v>
      </c>
      <c r="R37" s="11">
        <f t="shared" ref="R37:R41" si="5">C37+Q37</f>
        <v>37</v>
      </c>
    </row>
    <row r="38" ht="15.75" customHeight="1">
      <c r="A38" s="6" t="s">
        <v>35</v>
      </c>
      <c r="B38" s="7" t="s">
        <v>21</v>
      </c>
      <c r="C38" s="9">
        <v>15.0</v>
      </c>
      <c r="D38" s="9">
        <v>1.0</v>
      </c>
      <c r="E38" s="9"/>
      <c r="F38" s="9"/>
      <c r="G38" s="9"/>
      <c r="H38" s="9"/>
      <c r="I38" s="9">
        <v>1.0</v>
      </c>
      <c r="J38" s="9"/>
      <c r="K38" s="9"/>
      <c r="L38" s="9"/>
      <c r="M38" s="9">
        <v>1.0</v>
      </c>
      <c r="N38" s="9"/>
      <c r="O38" s="9"/>
      <c r="P38" s="9"/>
      <c r="Q38" s="10">
        <f>IF(D38="",0,D38*'💰 Prix matériaux'!$B$3)+IF(E38="",0,E38*'💰 Prix matériaux'!$B$4)+IF(F38="",0,F38*'💰 Prix matériaux'!$B$5)+IF(G38="",0,G38*'💰 Prix matériaux'!$B$6)+IF(H38="",0,H38*'💰 Prix matériaux'!$B$7)+IF(I38="",0,I38*'💰 Prix matériaux'!$B$8)+IF(J38="",0,J38*'💰 Prix matériaux'!$B$9)+IF(K38="",0,K38*'💰 Prix matériaux'!$B$10)+IF(L38="",0,L38*'💰 Prix matériaux'!$B$11)+IF(M38="",0,M38*'💰 Prix matériaux'!$B$12)+IF(N38="",0,N38*'💰 Prix matériaux'!$B$13)+IF(O38="",0,O38*'💰 Prix matériaux'!$B$15)+IF(P38="",0,P38*'💰 Prix matériaux'!$B$16)</f>
        <v>29</v>
      </c>
      <c r="R38" s="11">
        <f t="shared" si="5"/>
        <v>44</v>
      </c>
    </row>
    <row r="39" ht="15.75" customHeight="1">
      <c r="A39" s="6" t="s">
        <v>35</v>
      </c>
      <c r="B39" s="7" t="s">
        <v>25</v>
      </c>
      <c r="C39" s="9">
        <v>15.0</v>
      </c>
      <c r="D39" s="9">
        <v>1.0</v>
      </c>
      <c r="E39" s="9"/>
      <c r="F39" s="9"/>
      <c r="G39" s="9"/>
      <c r="H39" s="9"/>
      <c r="I39" s="9">
        <v>1.0</v>
      </c>
      <c r="J39" s="9"/>
      <c r="K39" s="9"/>
      <c r="L39" s="9"/>
      <c r="M39" s="9">
        <v>2.0</v>
      </c>
      <c r="N39" s="9"/>
      <c r="O39" s="9"/>
      <c r="P39" s="9"/>
      <c r="Q39" s="10">
        <f>IF(D39="",0,D39*'💰 Prix matériaux'!$B$3)+IF(E39="",0,E39*'💰 Prix matériaux'!$B$4)+IF(F39="",0,F39*'💰 Prix matériaux'!$B$5)+IF(G39="",0,G39*'💰 Prix matériaux'!$B$6)+IF(H39="",0,H39*'💰 Prix matériaux'!$B$7)+IF(I39="",0,I39*'💰 Prix matériaux'!$B$8)+IF(J39="",0,J39*'💰 Prix matériaux'!$B$9)+IF(K39="",0,K39*'💰 Prix matériaux'!$B$10)+IF(L39="",0,L39*'💰 Prix matériaux'!$B$11)+IF(M39="",0,M39*'💰 Prix matériaux'!$B$12)+IF(N39="",0,N39*'💰 Prix matériaux'!$B$13)+IF(O39="",0,O39*'💰 Prix matériaux'!$B$15)+IF(P39="",0,P39*'💰 Prix matériaux'!$B$16)</f>
        <v>30</v>
      </c>
      <c r="R39" s="11">
        <f t="shared" si="5"/>
        <v>45</v>
      </c>
    </row>
    <row r="40" ht="15.75" customHeight="1">
      <c r="A40" s="6" t="s">
        <v>35</v>
      </c>
      <c r="B40" s="7" t="s">
        <v>24</v>
      </c>
      <c r="C40" s="9">
        <v>15.0</v>
      </c>
      <c r="D40" s="9">
        <v>3.0</v>
      </c>
      <c r="E40" s="9"/>
      <c r="F40" s="9"/>
      <c r="G40" s="9"/>
      <c r="H40" s="9"/>
      <c r="I40" s="9">
        <v>1.0</v>
      </c>
      <c r="J40" s="9"/>
      <c r="K40" s="9"/>
      <c r="L40" s="9"/>
      <c r="M40" s="9">
        <v>2.0</v>
      </c>
      <c r="N40" s="9"/>
      <c r="O40" s="9"/>
      <c r="P40" s="9"/>
      <c r="Q40" s="10">
        <f>IF(D40="",0,D40*'💰 Prix matériaux'!$B$3)+IF(E40="",0,E40*'💰 Prix matériaux'!$B$4)+IF(F40="",0,F40*'💰 Prix matériaux'!$B$5)+IF(G40="",0,G40*'💰 Prix matériaux'!$B$6)+IF(H40="",0,H40*'💰 Prix matériaux'!$B$7)+IF(I40="",0,I40*'💰 Prix matériaux'!$B$8)+IF(J40="",0,J40*'💰 Prix matériaux'!$B$9)+IF(K40="",0,K40*'💰 Prix matériaux'!$B$10)+IF(L40="",0,L40*'💰 Prix matériaux'!$B$11)+IF(M40="",0,M40*'💰 Prix matériaux'!$B$12)+IF(N40="",0,N40*'💰 Prix matériaux'!$B$13)+IF(O40="",0,O40*'💰 Prix matériaux'!$B$15)+IF(P40="",0,P40*'💰 Prix matériaux'!$B$16)</f>
        <v>38</v>
      </c>
      <c r="R40" s="11">
        <f t="shared" si="5"/>
        <v>53</v>
      </c>
    </row>
    <row r="41" ht="15.75" customHeight="1">
      <c r="A41" s="6" t="s">
        <v>35</v>
      </c>
      <c r="B41" s="7" t="s">
        <v>28</v>
      </c>
      <c r="C41" s="9">
        <v>15.0</v>
      </c>
      <c r="D41" s="9">
        <v>1.0</v>
      </c>
      <c r="E41" s="9"/>
      <c r="F41" s="9"/>
      <c r="G41" s="9"/>
      <c r="H41" s="9"/>
      <c r="I41" s="9">
        <v>1.0</v>
      </c>
      <c r="J41" s="9"/>
      <c r="K41" s="9"/>
      <c r="L41" s="9"/>
      <c r="M41" s="9">
        <v>1.0</v>
      </c>
      <c r="N41" s="9"/>
      <c r="O41" s="9"/>
      <c r="P41" s="9"/>
      <c r="Q41" s="10">
        <f>IF(D41="",0,D41*'💰 Prix matériaux'!$B$3)+IF(E41="",0,E41*'💰 Prix matériaux'!$B$4)+IF(F41="",0,F41*'💰 Prix matériaux'!$B$5)+IF(G41="",0,G41*'💰 Prix matériaux'!$B$6)+IF(H41="",0,H41*'💰 Prix matériaux'!$B$7)+IF(I41="",0,I41*'💰 Prix matériaux'!$B$8)+IF(J41="",0,J41*'💰 Prix matériaux'!$B$9)+IF(K41="",0,K41*'💰 Prix matériaux'!$B$10)+IF(L41="",0,L41*'💰 Prix matériaux'!$B$11)+IF(M41="",0,M41*'💰 Prix matériaux'!$B$12)+IF(N41="",0,N41*'💰 Prix matériaux'!$B$13)+IF(O41="",0,O41*'💰 Prix matériaux'!$B$15)+IF(P41="",0,P41*'💰 Prix matériaux'!$B$16)</f>
        <v>29</v>
      </c>
      <c r="R41" s="11">
        <f t="shared" si="5"/>
        <v>44</v>
      </c>
    </row>
    <row r="42" ht="18.0" customHeight="1">
      <c r="A42" s="5" t="s">
        <v>36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</row>
    <row r="43" ht="15.75" customHeight="1">
      <c r="A43" s="18" t="s">
        <v>37</v>
      </c>
      <c r="B43" s="19" t="s">
        <v>20</v>
      </c>
      <c r="C43" s="9">
        <v>60.0</v>
      </c>
      <c r="D43" s="9">
        <v>1.0</v>
      </c>
      <c r="E43" s="9"/>
      <c r="F43" s="9"/>
      <c r="G43" s="9"/>
      <c r="H43" s="9">
        <v>2.0</v>
      </c>
      <c r="I43" s="9"/>
      <c r="J43" s="9"/>
      <c r="K43" s="9"/>
      <c r="L43" s="9"/>
      <c r="M43" s="9"/>
      <c r="N43" s="9"/>
      <c r="O43" s="9"/>
      <c r="P43" s="9"/>
      <c r="Q43" s="10">
        <f>IF(D43="",0,D43*'💰 Prix matériaux'!$B$3)+IF(E43="",0,E43*'💰 Prix matériaux'!$B$4)+IF(F43="",0,F43*'💰 Prix matériaux'!$B$5)+IF(G43="",0,G43*'💰 Prix matériaux'!$B$6)+IF(H43="",0,H43*'💰 Prix matériaux'!$B$7)+IF(I43="",0,I43*'💰 Prix matériaux'!$B$8)+IF(J43="",0,J43*'💰 Prix matériaux'!$B$9)+IF(K43="",0,K43*'💰 Prix matériaux'!$B$10)+IF(L43="",0,L43*'💰 Prix matériaux'!$B$11)+IF(M43="",0,M43*'💰 Prix matériaux'!$B$12)+IF(N43="",0,N43*'💰 Prix matériaux'!$B$13)+IF(O43="",0,O43*'💰 Prix matériaux'!$B$15)+IF(P43="",0,P43*'💰 Prix matériaux'!$B$16)</f>
        <v>104</v>
      </c>
      <c r="R43" s="11">
        <f t="shared" ref="R43:R51" si="6">C43+Q43</f>
        <v>164</v>
      </c>
    </row>
    <row r="44" ht="15.75" customHeight="1">
      <c r="A44" s="18" t="s">
        <v>37</v>
      </c>
      <c r="B44" s="19" t="s">
        <v>21</v>
      </c>
      <c r="C44" s="9">
        <v>60.0</v>
      </c>
      <c r="D44" s="9">
        <v>2.0</v>
      </c>
      <c r="E44" s="9"/>
      <c r="F44" s="9"/>
      <c r="G44" s="9"/>
      <c r="H44" s="9">
        <v>1.0</v>
      </c>
      <c r="I44" s="9"/>
      <c r="J44" s="9"/>
      <c r="K44" s="9"/>
      <c r="L44" s="9"/>
      <c r="M44" s="9">
        <v>1.0</v>
      </c>
      <c r="N44" s="9"/>
      <c r="O44" s="9"/>
      <c r="P44" s="9"/>
      <c r="Q44" s="10">
        <f>IF(D44="",0,D44*'💰 Prix matériaux'!$B$3)+IF(E44="",0,E44*'💰 Prix matériaux'!$B$4)+IF(F44="",0,F44*'💰 Prix matériaux'!$B$5)+IF(G44="",0,G44*'💰 Prix matériaux'!$B$6)+IF(H44="",0,H44*'💰 Prix matériaux'!$B$7)+IF(I44="",0,I44*'💰 Prix matériaux'!$B$8)+IF(J44="",0,J44*'💰 Prix matériaux'!$B$9)+IF(K44="",0,K44*'💰 Prix matériaux'!$B$10)+IF(L44="",0,L44*'💰 Prix matériaux'!$B$11)+IF(M44="",0,M44*'💰 Prix matériaux'!$B$12)+IF(N44="",0,N44*'💰 Prix matériaux'!$B$13)+IF(O44="",0,O44*'💰 Prix matériaux'!$B$15)+IF(P44="",0,P44*'💰 Prix matériaux'!$B$16)</f>
        <v>59</v>
      </c>
      <c r="R44" s="11">
        <f t="shared" si="6"/>
        <v>119</v>
      </c>
    </row>
    <row r="45" ht="15.75" customHeight="1">
      <c r="A45" s="18" t="s">
        <v>37</v>
      </c>
      <c r="B45" s="19" t="s">
        <v>22</v>
      </c>
      <c r="C45" s="9">
        <v>60.0</v>
      </c>
      <c r="D45" s="9">
        <v>2.0</v>
      </c>
      <c r="E45" s="9">
        <v>2.0</v>
      </c>
      <c r="F45" s="9"/>
      <c r="G45" s="9"/>
      <c r="H45" s="9">
        <v>2.0</v>
      </c>
      <c r="I45" s="9"/>
      <c r="J45" s="9"/>
      <c r="K45" s="9"/>
      <c r="L45" s="9"/>
      <c r="M45" s="9">
        <v>3.0</v>
      </c>
      <c r="N45" s="9"/>
      <c r="O45" s="9"/>
      <c r="P45" s="9"/>
      <c r="Q45" s="10">
        <f>IF(D45="",0,D45*'💰 Prix matériaux'!$B$3)+IF(E45="",0,E45*'💰 Prix matériaux'!$B$4)+IF(F45="",0,F45*'💰 Prix matériaux'!$B$5)+IF(G45="",0,G45*'💰 Prix matériaux'!$B$6)+IF(H45="",0,H45*'💰 Prix matériaux'!$B$7)+IF(I45="",0,I45*'💰 Prix matériaux'!$B$8)+IF(J45="",0,J45*'💰 Prix matériaux'!$B$9)+IF(K45="",0,K45*'💰 Prix matériaux'!$B$10)+IF(L45="",0,L45*'💰 Prix matériaux'!$B$11)+IF(M45="",0,M45*'💰 Prix matériaux'!$B$12)+IF(N45="",0,N45*'💰 Prix matériaux'!$B$13)+IF(O45="",0,O45*'💰 Prix matériaux'!$B$15)+IF(P45="",0,P45*'💰 Prix matériaux'!$B$16)</f>
        <v>125</v>
      </c>
      <c r="R45" s="11">
        <f t="shared" si="6"/>
        <v>185</v>
      </c>
    </row>
    <row r="46" ht="15.75" customHeight="1">
      <c r="A46" s="18" t="s">
        <v>37</v>
      </c>
      <c r="B46" s="19" t="s">
        <v>23</v>
      </c>
      <c r="C46" s="9">
        <v>60.0</v>
      </c>
      <c r="D46" s="9"/>
      <c r="E46" s="9"/>
      <c r="F46" s="9"/>
      <c r="G46" s="9"/>
      <c r="H46" s="9">
        <v>1.0</v>
      </c>
      <c r="I46" s="9"/>
      <c r="J46" s="9"/>
      <c r="K46" s="9">
        <v>1.0</v>
      </c>
      <c r="L46" s="9"/>
      <c r="M46" s="9"/>
      <c r="N46" s="9"/>
      <c r="O46" s="9"/>
      <c r="P46" s="9"/>
      <c r="Q46" s="10">
        <f>IF(D46="",0,D46*'💰 Prix matériaux'!$B$3)+IF(E46="",0,E46*'💰 Prix matériaux'!$B$4)+IF(F46="",0,F46*'💰 Prix matériaux'!$B$5)+IF(G46="",0,G46*'💰 Prix matériaux'!$B$6)+IF(H46="",0,H46*'💰 Prix matériaux'!$B$7)+IF(I46="",0,I46*'💰 Prix matériaux'!$B$8)+IF(J46="",0,J46*'💰 Prix matériaux'!$B$9)+IF(K46="",0,K46*'💰 Prix matériaux'!$B$10)+IF(L46="",0,L46*'💰 Prix matériaux'!$B$11)+IF(M46="",0,M46*'💰 Prix matériaux'!$B$12)+IF(N46="",0,N46*'💰 Prix matériaux'!$B$13)+IF(O46="",0,O46*'💰 Prix matériaux'!$B$15)+IF(P46="",0,P46*'💰 Prix matériaux'!$B$16)</f>
        <v>51</v>
      </c>
      <c r="R46" s="11">
        <f t="shared" si="6"/>
        <v>111</v>
      </c>
    </row>
    <row r="47" ht="15.75" customHeight="1">
      <c r="A47" s="18" t="s">
        <v>37</v>
      </c>
      <c r="B47" s="19" t="s">
        <v>25</v>
      </c>
      <c r="C47" s="9">
        <v>60.0</v>
      </c>
      <c r="D47" s="9">
        <v>1.0</v>
      </c>
      <c r="E47" s="9">
        <v>1.0</v>
      </c>
      <c r="F47" s="9"/>
      <c r="G47" s="9"/>
      <c r="H47" s="9">
        <v>1.0</v>
      </c>
      <c r="I47" s="9"/>
      <c r="J47" s="9"/>
      <c r="K47" s="9"/>
      <c r="L47" s="9"/>
      <c r="M47" s="9">
        <v>2.0</v>
      </c>
      <c r="N47" s="9"/>
      <c r="O47" s="9"/>
      <c r="P47" s="9"/>
      <c r="Q47" s="10">
        <f>IF(D47="",0,D47*'💰 Prix matériaux'!$B$3)+IF(E47="",0,E47*'💰 Prix matériaux'!$B$4)+IF(F47="",0,F47*'💰 Prix matériaux'!$B$5)+IF(G47="",0,G47*'💰 Prix matériaux'!$B$6)+IF(H47="",0,H47*'💰 Prix matériaux'!$B$7)+IF(I47="",0,I47*'💰 Prix matériaux'!$B$8)+IF(J47="",0,J47*'💰 Prix matériaux'!$B$9)+IF(K47="",0,K47*'💰 Prix matériaux'!$B$10)+IF(L47="",0,L47*'💰 Prix matériaux'!$B$11)+IF(M47="",0,M47*'💰 Prix matériaux'!$B$12)+IF(N47="",0,N47*'💰 Prix matériaux'!$B$13)+IF(O47="",0,O47*'💰 Prix matériaux'!$B$15)+IF(P47="",0,P47*'💰 Prix matériaux'!$B$16)</f>
        <v>63</v>
      </c>
      <c r="R47" s="11">
        <f t="shared" si="6"/>
        <v>123</v>
      </c>
    </row>
    <row r="48" ht="15.75" customHeight="1">
      <c r="A48" s="18" t="s">
        <v>37</v>
      </c>
      <c r="B48" s="19" t="s">
        <v>24</v>
      </c>
      <c r="C48" s="9">
        <v>60.0</v>
      </c>
      <c r="D48" s="9">
        <v>1.0</v>
      </c>
      <c r="E48" s="9">
        <v>2.0</v>
      </c>
      <c r="F48" s="9"/>
      <c r="G48" s="9"/>
      <c r="H48" s="9">
        <v>2.0</v>
      </c>
      <c r="I48" s="9"/>
      <c r="J48" s="9"/>
      <c r="K48" s="9"/>
      <c r="L48" s="9"/>
      <c r="M48" s="9">
        <v>2.0</v>
      </c>
      <c r="N48" s="9"/>
      <c r="O48" s="9"/>
      <c r="P48" s="9"/>
      <c r="Q48" s="10">
        <f>IF(D48="",0,D48*'💰 Prix matériaux'!$B$3)+IF(E48="",0,E48*'💰 Prix matériaux'!$B$4)+IF(F48="",0,F48*'💰 Prix matériaux'!$B$5)+IF(G48="",0,G48*'💰 Prix matériaux'!$B$6)+IF(H48="",0,H48*'💰 Prix matériaux'!$B$7)+IF(I48="",0,I48*'💰 Prix matériaux'!$B$8)+IF(J48="",0,J48*'💰 Prix matériaux'!$B$9)+IF(K48="",0,K48*'💰 Prix matériaux'!$B$10)+IF(L48="",0,L48*'💰 Prix matériaux'!$B$11)+IF(M48="",0,M48*'💰 Prix matériaux'!$B$12)+IF(N48="",0,N48*'💰 Prix matériaux'!$B$13)+IF(O48="",0,O48*'💰 Prix matériaux'!$B$15)+IF(P48="",0,P48*'💰 Prix matériaux'!$B$16)</f>
        <v>120</v>
      </c>
      <c r="R48" s="11">
        <f t="shared" si="6"/>
        <v>180</v>
      </c>
    </row>
    <row r="49" ht="15.75" customHeight="1">
      <c r="A49" s="18" t="s">
        <v>37</v>
      </c>
      <c r="B49" s="19" t="s">
        <v>26</v>
      </c>
      <c r="C49" s="9">
        <v>60.0</v>
      </c>
      <c r="D49" s="9">
        <v>1.0</v>
      </c>
      <c r="E49" s="9">
        <v>2.0</v>
      </c>
      <c r="F49" s="9"/>
      <c r="G49" s="9"/>
      <c r="H49" s="9">
        <v>2.0</v>
      </c>
      <c r="I49" s="9"/>
      <c r="J49" s="9"/>
      <c r="K49" s="9"/>
      <c r="L49" s="9"/>
      <c r="M49" s="9">
        <v>3.0</v>
      </c>
      <c r="N49" s="9"/>
      <c r="O49" s="9"/>
      <c r="P49" s="9"/>
      <c r="Q49" s="10">
        <f>IF(D49="",0,D49*'💰 Prix matériaux'!$B$3)+IF(E49="",0,E49*'💰 Prix matériaux'!$B$4)+IF(F49="",0,F49*'💰 Prix matériaux'!$B$5)+IF(G49="",0,G49*'💰 Prix matériaux'!$B$6)+IF(H49="",0,H49*'💰 Prix matériaux'!$B$7)+IF(I49="",0,I49*'💰 Prix matériaux'!$B$8)+IF(J49="",0,J49*'💰 Prix matériaux'!$B$9)+IF(K49="",0,K49*'💰 Prix matériaux'!$B$10)+IF(L49="",0,L49*'💰 Prix matériaux'!$B$11)+IF(M49="",0,M49*'💰 Prix matériaux'!$B$12)+IF(N49="",0,N49*'💰 Prix matériaux'!$B$13)+IF(O49="",0,O49*'💰 Prix matériaux'!$B$15)+IF(P49="",0,P49*'💰 Prix matériaux'!$B$16)</f>
        <v>121</v>
      </c>
      <c r="R49" s="11">
        <f t="shared" si="6"/>
        <v>181</v>
      </c>
    </row>
    <row r="50" ht="15.75" customHeight="1">
      <c r="A50" s="18" t="s">
        <v>37</v>
      </c>
      <c r="B50" s="19" t="s">
        <v>27</v>
      </c>
      <c r="C50" s="9">
        <v>60.0</v>
      </c>
      <c r="D50" s="9">
        <v>1.0</v>
      </c>
      <c r="E50" s="9">
        <v>1.0</v>
      </c>
      <c r="F50" s="9"/>
      <c r="G50" s="9"/>
      <c r="H50" s="9">
        <v>2.0</v>
      </c>
      <c r="I50" s="9"/>
      <c r="J50" s="9"/>
      <c r="K50" s="9"/>
      <c r="L50" s="9"/>
      <c r="M50" s="9">
        <v>1.0</v>
      </c>
      <c r="N50" s="9"/>
      <c r="O50" s="9"/>
      <c r="P50" s="9"/>
      <c r="Q50" s="10">
        <f>IF(D50="",0,D50*'💰 Prix matériaux'!$B$3)+IF(E50="",0,E50*'💰 Prix matériaux'!$B$4)+IF(F50="",0,F50*'💰 Prix matériaux'!$B$5)+IF(G50="",0,G50*'💰 Prix matériaux'!$B$6)+IF(H50="",0,H50*'💰 Prix matériaux'!$B$7)+IF(I50="",0,I50*'💰 Prix matériaux'!$B$8)+IF(J50="",0,J50*'💰 Prix matériaux'!$B$9)+IF(K50="",0,K50*'💰 Prix matériaux'!$B$10)+IF(L50="",0,L50*'💰 Prix matériaux'!$B$11)+IF(M50="",0,M50*'💰 Prix matériaux'!$B$12)+IF(N50="",0,N50*'💰 Prix matériaux'!$B$13)+IF(O50="",0,O50*'💰 Prix matériaux'!$B$15)+IF(P50="",0,P50*'💰 Prix matériaux'!$B$16)</f>
        <v>112</v>
      </c>
      <c r="R50" s="11">
        <f t="shared" si="6"/>
        <v>172</v>
      </c>
    </row>
    <row r="51" ht="15.75" customHeight="1">
      <c r="A51" s="18" t="s">
        <v>37</v>
      </c>
      <c r="B51" s="19" t="s">
        <v>28</v>
      </c>
      <c r="C51" s="9">
        <v>60.0</v>
      </c>
      <c r="D51" s="9">
        <v>1.0</v>
      </c>
      <c r="E51" s="9">
        <v>1.0</v>
      </c>
      <c r="F51" s="9"/>
      <c r="G51" s="9"/>
      <c r="H51" s="9">
        <v>1.0</v>
      </c>
      <c r="I51" s="9"/>
      <c r="J51" s="9"/>
      <c r="K51" s="9"/>
      <c r="L51" s="9"/>
      <c r="M51" s="9">
        <v>1.0</v>
      </c>
      <c r="N51" s="9"/>
      <c r="O51" s="9"/>
      <c r="P51" s="9"/>
      <c r="Q51" s="10">
        <f>IF(D51="",0,D51*'💰 Prix matériaux'!$B$3)+IF(E51="",0,E51*'💰 Prix matériaux'!$B$4)+IF(F51="",0,F51*'💰 Prix matériaux'!$B$5)+IF(G51="",0,G51*'💰 Prix matériaux'!$B$6)+IF(H51="",0,H51*'💰 Prix matériaux'!$B$7)+IF(I51="",0,I51*'💰 Prix matériaux'!$B$8)+IF(J51="",0,J51*'💰 Prix matériaux'!$B$9)+IF(K51="",0,K51*'💰 Prix matériaux'!$B$10)+IF(L51="",0,L51*'💰 Prix matériaux'!$B$11)+IF(M51="",0,M51*'💰 Prix matériaux'!$B$12)+IF(N51="",0,N51*'💰 Prix matériaux'!$B$13)+IF(O51="",0,O51*'💰 Prix matériaux'!$B$15)+IF(P51="",0,P51*'💰 Prix matériaux'!$B$16)</f>
        <v>62</v>
      </c>
      <c r="R51" s="11">
        <f t="shared" si="6"/>
        <v>122</v>
      </c>
    </row>
    <row r="52" ht="18.0" customHeight="1">
      <c r="A52" s="5" t="s">
        <v>38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</row>
    <row r="53" ht="15.75" customHeight="1">
      <c r="A53" s="20" t="s">
        <v>39</v>
      </c>
      <c r="B53" s="21" t="s">
        <v>20</v>
      </c>
      <c r="C53" s="9">
        <v>40.0</v>
      </c>
      <c r="D53" s="9">
        <v>1.0</v>
      </c>
      <c r="E53" s="9"/>
      <c r="F53" s="9">
        <v>2.0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10">
        <f>IF(D53="",0,D53*'💰 Prix matériaux'!$B$3)+IF(E53="",0,E53*'💰 Prix matériaux'!$B$4)+IF(F53="",0,F53*'💰 Prix matériaux'!$B$5)+IF(G53="",0,G53*'💰 Prix matériaux'!$B$6)+IF(H53="",0,H53*'💰 Prix matériaux'!$B$7)+IF(I53="",0,I53*'💰 Prix matériaux'!$B$8)+IF(J53="",0,J53*'💰 Prix matériaux'!$B$9)+IF(K53="",0,K53*'💰 Prix matériaux'!$B$10)+IF(L53="",0,L53*'💰 Prix matériaux'!$B$11)+IF(M53="",0,M53*'💰 Prix matériaux'!$B$12)+IF(N53="",0,N53*'💰 Prix matériaux'!$B$13)+IF(O53="",0,O53*'💰 Prix matériaux'!$B$15)+IF(P53="",0,P53*'💰 Prix matériaux'!$B$16)</f>
        <v>44</v>
      </c>
      <c r="R53" s="11">
        <f t="shared" ref="R53:R61" si="7">C53+Q53</f>
        <v>84</v>
      </c>
    </row>
    <row r="54" ht="15.75" customHeight="1">
      <c r="A54" s="20" t="s">
        <v>39</v>
      </c>
      <c r="B54" s="21" t="s">
        <v>21</v>
      </c>
      <c r="C54" s="9">
        <v>40.0</v>
      </c>
      <c r="D54" s="9">
        <v>1.0</v>
      </c>
      <c r="E54" s="9"/>
      <c r="F54" s="9">
        <v>1.0</v>
      </c>
      <c r="G54" s="9"/>
      <c r="H54" s="9"/>
      <c r="I54" s="9"/>
      <c r="J54" s="9"/>
      <c r="K54" s="9"/>
      <c r="L54" s="9"/>
      <c r="M54" s="9">
        <v>1.0</v>
      </c>
      <c r="N54" s="9"/>
      <c r="O54" s="9"/>
      <c r="P54" s="9"/>
      <c r="Q54" s="10">
        <f>IF(D54="",0,D54*'💰 Prix matériaux'!$B$3)+IF(E54="",0,E54*'💰 Prix matériaux'!$B$4)+IF(F54="",0,F54*'💰 Prix matériaux'!$B$5)+IF(G54="",0,G54*'💰 Prix matériaux'!$B$6)+IF(H54="",0,H54*'💰 Prix matériaux'!$B$7)+IF(I54="",0,I54*'💰 Prix matériaux'!$B$8)+IF(J54="",0,J54*'💰 Prix matériaux'!$B$9)+IF(K54="",0,K54*'💰 Prix matériaux'!$B$10)+IF(L54="",0,L54*'💰 Prix matériaux'!$B$11)+IF(M54="",0,M54*'💰 Prix matériaux'!$B$12)+IF(N54="",0,N54*'💰 Prix matériaux'!$B$13)+IF(O54="",0,O54*'💰 Prix matériaux'!$B$15)+IF(P54="",0,P54*'💰 Prix matériaux'!$B$16)</f>
        <v>25</v>
      </c>
      <c r="R54" s="11">
        <f t="shared" si="7"/>
        <v>65</v>
      </c>
    </row>
    <row r="55" ht="15.75" customHeight="1">
      <c r="A55" s="20" t="s">
        <v>39</v>
      </c>
      <c r="B55" s="21" t="s">
        <v>22</v>
      </c>
      <c r="C55" s="9">
        <v>40.0</v>
      </c>
      <c r="D55" s="9">
        <v>2.0</v>
      </c>
      <c r="E55" s="9"/>
      <c r="F55" s="9">
        <v>4.0</v>
      </c>
      <c r="G55" s="9"/>
      <c r="H55" s="9"/>
      <c r="I55" s="9"/>
      <c r="J55" s="9"/>
      <c r="K55" s="9"/>
      <c r="L55" s="9"/>
      <c r="M55" s="9">
        <v>3.0</v>
      </c>
      <c r="N55" s="9"/>
      <c r="O55" s="9"/>
      <c r="P55" s="9"/>
      <c r="Q55" s="10">
        <f>IF(D55="",0,D55*'💰 Prix matériaux'!$B$3)+IF(E55="",0,E55*'💰 Prix matériaux'!$B$4)+IF(F55="",0,F55*'💰 Prix matériaux'!$B$5)+IF(G55="",0,G55*'💰 Prix matériaux'!$B$6)+IF(H55="",0,H55*'💰 Prix matériaux'!$B$7)+IF(I55="",0,I55*'💰 Prix matériaux'!$B$8)+IF(J55="",0,J55*'💰 Prix matériaux'!$B$9)+IF(K55="",0,K55*'💰 Prix matériaux'!$B$10)+IF(L55="",0,L55*'💰 Prix matériaux'!$B$11)+IF(M55="",0,M55*'💰 Prix matériaux'!$B$12)+IF(N55="",0,N55*'💰 Prix matériaux'!$B$13)+IF(O55="",0,O55*'💰 Prix matériaux'!$B$15)+IF(P55="",0,P55*'💰 Prix matériaux'!$B$16)</f>
        <v>91</v>
      </c>
      <c r="R55" s="11">
        <f t="shared" si="7"/>
        <v>131</v>
      </c>
    </row>
    <row r="56" ht="15.75" customHeight="1">
      <c r="A56" s="20" t="s">
        <v>39</v>
      </c>
      <c r="B56" s="21" t="s">
        <v>23</v>
      </c>
      <c r="C56" s="9">
        <v>40.0</v>
      </c>
      <c r="D56" s="9"/>
      <c r="E56" s="9"/>
      <c r="F56" s="9">
        <v>1.0</v>
      </c>
      <c r="G56" s="9"/>
      <c r="H56" s="9"/>
      <c r="I56" s="9"/>
      <c r="J56" s="9"/>
      <c r="K56" s="9">
        <v>1.0</v>
      </c>
      <c r="L56" s="9"/>
      <c r="M56" s="9"/>
      <c r="N56" s="9"/>
      <c r="O56" s="9"/>
      <c r="P56" s="9"/>
      <c r="Q56" s="10">
        <f>IF(D56="",0,D56*'💰 Prix matériaux'!$B$3)+IF(E56="",0,E56*'💰 Prix matériaux'!$B$4)+IF(F56="",0,F56*'💰 Prix matériaux'!$B$5)+IF(G56="",0,G56*'💰 Prix matériaux'!$B$6)+IF(H56="",0,H56*'💰 Prix matériaux'!$B$7)+IF(I56="",0,I56*'💰 Prix matériaux'!$B$8)+IF(J56="",0,J56*'💰 Prix matériaux'!$B$9)+IF(K56="",0,K56*'💰 Prix matériaux'!$B$10)+IF(L56="",0,L56*'💰 Prix matériaux'!$B$11)+IF(M56="",0,M56*'💰 Prix matériaux'!$B$12)+IF(N56="",0,N56*'💰 Prix matériaux'!$B$13)+IF(O56="",0,O56*'💰 Prix matériaux'!$B$15)+IF(P56="",0,P56*'💰 Prix matériaux'!$B$16)</f>
        <v>21</v>
      </c>
      <c r="R56" s="11">
        <f t="shared" si="7"/>
        <v>61</v>
      </c>
    </row>
    <row r="57" ht="15.75" customHeight="1">
      <c r="A57" s="20" t="s">
        <v>39</v>
      </c>
      <c r="B57" s="21" t="s">
        <v>24</v>
      </c>
      <c r="C57" s="9">
        <v>40.0</v>
      </c>
      <c r="D57" s="9">
        <v>1.0</v>
      </c>
      <c r="E57" s="9"/>
      <c r="F57" s="9">
        <v>4.0</v>
      </c>
      <c r="G57" s="9"/>
      <c r="H57" s="9"/>
      <c r="I57" s="9"/>
      <c r="J57" s="9"/>
      <c r="K57" s="9"/>
      <c r="L57" s="9"/>
      <c r="M57" s="9">
        <v>2.0</v>
      </c>
      <c r="N57" s="9"/>
      <c r="O57" s="9"/>
      <c r="P57" s="9"/>
      <c r="Q57" s="10">
        <f>IF(D57="",0,D57*'💰 Prix matériaux'!$B$3)+IF(E57="",0,E57*'💰 Prix matériaux'!$B$4)+IF(F57="",0,F57*'💰 Prix matériaux'!$B$5)+IF(G57="",0,G57*'💰 Prix matériaux'!$B$6)+IF(H57="",0,H57*'💰 Prix matériaux'!$B$7)+IF(I57="",0,I57*'💰 Prix matériaux'!$B$8)+IF(J57="",0,J57*'💰 Prix matériaux'!$B$9)+IF(K57="",0,K57*'💰 Prix matériaux'!$B$10)+IF(L57="",0,L57*'💰 Prix matériaux'!$B$11)+IF(M57="",0,M57*'💰 Prix matériaux'!$B$12)+IF(N57="",0,N57*'💰 Prix matériaux'!$B$13)+IF(O57="",0,O57*'💰 Prix matériaux'!$B$15)+IF(P57="",0,P57*'💰 Prix matériaux'!$B$16)</f>
        <v>86</v>
      </c>
      <c r="R57" s="11">
        <f t="shared" si="7"/>
        <v>126</v>
      </c>
    </row>
    <row r="58" ht="15.75" customHeight="1">
      <c r="A58" s="20" t="s">
        <v>39</v>
      </c>
      <c r="B58" s="21" t="s">
        <v>25</v>
      </c>
      <c r="C58" s="9">
        <v>40.0</v>
      </c>
      <c r="D58" s="9">
        <v>1.0</v>
      </c>
      <c r="E58" s="9"/>
      <c r="F58" s="9">
        <v>2.0</v>
      </c>
      <c r="G58" s="9"/>
      <c r="H58" s="9"/>
      <c r="I58" s="9"/>
      <c r="J58" s="9"/>
      <c r="K58" s="9"/>
      <c r="L58" s="9"/>
      <c r="M58" s="9">
        <v>2.0</v>
      </c>
      <c r="N58" s="9"/>
      <c r="O58" s="9"/>
      <c r="P58" s="9"/>
      <c r="Q58" s="10">
        <f>IF(D58="",0,D58*'💰 Prix matériaux'!$B$3)+IF(E58="",0,E58*'💰 Prix matériaux'!$B$4)+IF(F58="",0,F58*'💰 Prix matériaux'!$B$5)+IF(G58="",0,G58*'💰 Prix matériaux'!$B$6)+IF(H58="",0,H58*'💰 Prix matériaux'!$B$7)+IF(I58="",0,I58*'💰 Prix matériaux'!$B$8)+IF(J58="",0,J58*'💰 Prix matériaux'!$B$9)+IF(K58="",0,K58*'💰 Prix matériaux'!$B$10)+IF(L58="",0,L58*'💰 Prix matériaux'!$B$11)+IF(M58="",0,M58*'💰 Prix matériaux'!$B$12)+IF(N58="",0,N58*'💰 Prix matériaux'!$B$13)+IF(O58="",0,O58*'💰 Prix matériaux'!$B$15)+IF(P58="",0,P58*'💰 Prix matériaux'!$B$16)</f>
        <v>46</v>
      </c>
      <c r="R58" s="11">
        <f t="shared" si="7"/>
        <v>86</v>
      </c>
    </row>
    <row r="59" ht="15.75" customHeight="1">
      <c r="A59" s="20" t="s">
        <v>39</v>
      </c>
      <c r="B59" s="21" t="s">
        <v>26</v>
      </c>
      <c r="C59" s="9">
        <v>40.0</v>
      </c>
      <c r="D59" s="9">
        <v>1.0</v>
      </c>
      <c r="E59" s="9"/>
      <c r="F59" s="9">
        <v>4.0</v>
      </c>
      <c r="G59" s="9"/>
      <c r="H59" s="9"/>
      <c r="I59" s="9"/>
      <c r="J59" s="9"/>
      <c r="K59" s="9"/>
      <c r="L59" s="9"/>
      <c r="M59" s="9">
        <v>3.0</v>
      </c>
      <c r="N59" s="9"/>
      <c r="O59" s="9"/>
      <c r="P59" s="9"/>
      <c r="Q59" s="10">
        <f>IF(D59="",0,D59*'💰 Prix matériaux'!$B$3)+IF(E59="",0,E59*'💰 Prix matériaux'!$B$4)+IF(F59="",0,F59*'💰 Prix matériaux'!$B$5)+IF(G59="",0,G59*'💰 Prix matériaux'!$B$6)+IF(H59="",0,H59*'💰 Prix matériaux'!$B$7)+IF(I59="",0,I59*'💰 Prix matériaux'!$B$8)+IF(J59="",0,J59*'💰 Prix matériaux'!$B$9)+IF(K59="",0,K59*'💰 Prix matériaux'!$B$10)+IF(L59="",0,L59*'💰 Prix matériaux'!$B$11)+IF(M59="",0,M59*'💰 Prix matériaux'!$B$12)+IF(N59="",0,N59*'💰 Prix matériaux'!$B$13)+IF(O59="",0,O59*'💰 Prix matériaux'!$B$15)+IF(P59="",0,P59*'💰 Prix matériaux'!$B$16)</f>
        <v>87</v>
      </c>
      <c r="R59" s="11">
        <f t="shared" si="7"/>
        <v>127</v>
      </c>
    </row>
    <row r="60" ht="15.75" customHeight="1">
      <c r="A60" s="20" t="s">
        <v>39</v>
      </c>
      <c r="B60" s="21" t="s">
        <v>27</v>
      </c>
      <c r="C60" s="9">
        <v>40.0</v>
      </c>
      <c r="D60" s="9">
        <v>1.0</v>
      </c>
      <c r="E60" s="9"/>
      <c r="F60" s="9">
        <v>3.0</v>
      </c>
      <c r="G60" s="9"/>
      <c r="H60" s="9"/>
      <c r="I60" s="9"/>
      <c r="J60" s="9"/>
      <c r="K60" s="9"/>
      <c r="L60" s="9"/>
      <c r="M60" s="9">
        <v>1.0</v>
      </c>
      <c r="N60" s="9"/>
      <c r="O60" s="9"/>
      <c r="P60" s="9"/>
      <c r="Q60" s="10">
        <f>IF(D60="",0,D60*'💰 Prix matériaux'!$B$3)+IF(E60="",0,E60*'💰 Prix matériaux'!$B$4)+IF(F60="",0,F60*'💰 Prix matériaux'!$B$5)+IF(G60="",0,G60*'💰 Prix matériaux'!$B$6)+IF(H60="",0,H60*'💰 Prix matériaux'!$B$7)+IF(I60="",0,I60*'💰 Prix matériaux'!$B$8)+IF(J60="",0,J60*'💰 Prix matériaux'!$B$9)+IF(K60="",0,K60*'💰 Prix matériaux'!$B$10)+IF(L60="",0,L60*'💰 Prix matériaux'!$B$11)+IF(M60="",0,M60*'💰 Prix matériaux'!$B$12)+IF(N60="",0,N60*'💰 Prix matériaux'!$B$13)+IF(O60="",0,O60*'💰 Prix matériaux'!$B$15)+IF(P60="",0,P60*'💰 Prix matériaux'!$B$16)</f>
        <v>65</v>
      </c>
      <c r="R60" s="11">
        <f t="shared" si="7"/>
        <v>105</v>
      </c>
    </row>
    <row r="61" ht="15.75" customHeight="1">
      <c r="A61" s="20" t="s">
        <v>39</v>
      </c>
      <c r="B61" s="21" t="s">
        <v>28</v>
      </c>
      <c r="C61" s="9">
        <v>40.0</v>
      </c>
      <c r="D61" s="9">
        <v>1.0</v>
      </c>
      <c r="E61" s="9"/>
      <c r="F61" s="9">
        <v>2.0</v>
      </c>
      <c r="G61" s="9"/>
      <c r="H61" s="9"/>
      <c r="I61" s="9"/>
      <c r="J61" s="9"/>
      <c r="K61" s="9"/>
      <c r="L61" s="9"/>
      <c r="M61" s="9">
        <v>1.0</v>
      </c>
      <c r="N61" s="9"/>
      <c r="O61" s="9"/>
      <c r="P61" s="9"/>
      <c r="Q61" s="10">
        <f>IF(D61="",0,D61*'💰 Prix matériaux'!$B$3)+IF(E61="",0,E61*'💰 Prix matériaux'!$B$4)+IF(F61="",0,F61*'💰 Prix matériaux'!$B$5)+IF(G61="",0,G61*'💰 Prix matériaux'!$B$6)+IF(H61="",0,H61*'💰 Prix matériaux'!$B$7)+IF(I61="",0,I61*'💰 Prix matériaux'!$B$8)+IF(J61="",0,J61*'💰 Prix matériaux'!$B$9)+IF(K61="",0,K61*'💰 Prix matériaux'!$B$10)+IF(L61="",0,L61*'💰 Prix matériaux'!$B$11)+IF(M61="",0,M61*'💰 Prix matériaux'!$B$12)+IF(N61="",0,N61*'💰 Prix matériaux'!$B$13)+IF(O61="",0,O61*'💰 Prix matériaux'!$B$15)+IF(P61="",0,P61*'💰 Prix matériaux'!$B$16)</f>
        <v>45</v>
      </c>
      <c r="R61" s="11">
        <f t="shared" si="7"/>
        <v>85</v>
      </c>
    </row>
    <row r="62" ht="18.0" customHeight="1">
      <c r="A62" s="5" t="s">
        <v>40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</row>
    <row r="63" ht="15.75" customHeight="1">
      <c r="A63" s="22" t="s">
        <v>16</v>
      </c>
      <c r="B63" s="23" t="s">
        <v>41</v>
      </c>
      <c r="C63" s="8">
        <v>100.0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>
        <v>3.0</v>
      </c>
      <c r="Q63" s="10">
        <f>IF(D63="",0,D63*'💰 Prix matériaux'!$B$3)+IF(E63="",0,E63*'💰 Prix matériaux'!$B$4)+IF(F63="",0,F63*'💰 Prix matériaux'!$B$5)+IF(G63="",0,G63*'💰 Prix matériaux'!$B$6)+IF(H63="",0,H63*'💰 Prix matériaux'!$B$7)+IF(I63="",0,I63*'💰 Prix matériaux'!$B$8)+IF(J63="",0,J63*'💰 Prix matériaux'!$B$9)+IF(K63="",0,K63*'💰 Prix matériaux'!$B$10)+IF(L63="",0,L63*'💰 Prix matériaux'!$B$11)+IF(M63="",0,M63*'💰 Prix matériaux'!$B$12)+IF(N63="",0,N63*'💰 Prix matériaux'!$B$13)+IF(O63="",0,O63*'💰 Prix matériaux'!$B$15)+IF(P63="",0,P63*'💰 Prix matériaux'!$B$16)</f>
        <v>240</v>
      </c>
      <c r="R63" s="11">
        <f t="shared" ref="R63:R71" si="8">C63+Q63</f>
        <v>340</v>
      </c>
    </row>
    <row r="64" ht="15.75" customHeight="1">
      <c r="A64" s="22" t="s">
        <v>16</v>
      </c>
      <c r="B64" s="23" t="s">
        <v>42</v>
      </c>
      <c r="C64" s="8">
        <v>100.0</v>
      </c>
      <c r="D64" s="9"/>
      <c r="E64" s="9"/>
      <c r="F64" s="9"/>
      <c r="G64" s="9"/>
      <c r="H64" s="9"/>
      <c r="I64" s="9"/>
      <c r="J64" s="9"/>
      <c r="K64" s="9"/>
      <c r="L64" s="9"/>
      <c r="M64" s="9">
        <v>1.0</v>
      </c>
      <c r="N64" s="9"/>
      <c r="O64" s="9"/>
      <c r="P64" s="9">
        <v>1.0</v>
      </c>
      <c r="Q64" s="10">
        <f>IF(D64="",0,D64*'💰 Prix matériaux'!$B$3)+IF(E64="",0,E64*'💰 Prix matériaux'!$B$4)+IF(F64="",0,F64*'💰 Prix matériaux'!$B$5)+IF(G64="",0,G64*'💰 Prix matériaux'!$B$6)+IF(H64="",0,H64*'💰 Prix matériaux'!$B$7)+IF(I64="",0,I64*'💰 Prix matériaux'!$B$8)+IF(J64="",0,J64*'💰 Prix matériaux'!$B$9)+IF(K64="",0,K64*'💰 Prix matériaux'!$B$10)+IF(L64="",0,L64*'💰 Prix matériaux'!$B$11)+IF(M64="",0,M64*'💰 Prix matériaux'!$B$12)+IF(N64="",0,N64*'💰 Prix matériaux'!$B$13)+IF(O64="",0,O64*'💰 Prix matériaux'!$B$15)+IF(P64="",0,P64*'💰 Prix matériaux'!$B$16)</f>
        <v>81</v>
      </c>
      <c r="R64" s="11">
        <f t="shared" si="8"/>
        <v>181</v>
      </c>
    </row>
    <row r="65" ht="15.75" customHeight="1">
      <c r="A65" s="22" t="s">
        <v>16</v>
      </c>
      <c r="B65" s="23" t="s">
        <v>43</v>
      </c>
      <c r="C65" s="8">
        <v>100.0</v>
      </c>
      <c r="D65" s="9"/>
      <c r="E65" s="9"/>
      <c r="F65" s="9"/>
      <c r="G65" s="9"/>
      <c r="H65" s="9"/>
      <c r="I65" s="9"/>
      <c r="J65" s="9"/>
      <c r="K65" s="9"/>
      <c r="L65" s="9"/>
      <c r="M65" s="9">
        <v>1.0</v>
      </c>
      <c r="N65" s="9"/>
      <c r="O65" s="9"/>
      <c r="P65" s="9">
        <v>2.0</v>
      </c>
      <c r="Q65" s="10">
        <f>IF(D65="",0,D65*'💰 Prix matériaux'!$B$3)+IF(E65="",0,E65*'💰 Prix matériaux'!$B$4)+IF(F65="",0,F65*'💰 Prix matériaux'!$B$5)+IF(G65="",0,G65*'💰 Prix matériaux'!$B$6)+IF(H65="",0,H65*'💰 Prix matériaux'!$B$7)+IF(I65="",0,I65*'💰 Prix matériaux'!$B$8)+IF(J65="",0,J65*'💰 Prix matériaux'!$B$9)+IF(K65="",0,K65*'💰 Prix matériaux'!$B$10)+IF(L65="",0,L65*'💰 Prix matériaux'!$B$11)+IF(M65="",0,M65*'💰 Prix matériaux'!$B$12)+IF(N65="",0,N65*'💰 Prix matériaux'!$B$13)+IF(O65="",0,O65*'💰 Prix matériaux'!$B$15)+IF(P65="",0,P65*'💰 Prix matériaux'!$B$16)</f>
        <v>161</v>
      </c>
      <c r="R65" s="11">
        <f t="shared" si="8"/>
        <v>261</v>
      </c>
    </row>
    <row r="66" ht="15.75" customHeight="1">
      <c r="A66" s="22" t="s">
        <v>16</v>
      </c>
      <c r="B66" s="23" t="s">
        <v>44</v>
      </c>
      <c r="C66" s="8">
        <v>100.0</v>
      </c>
      <c r="D66" s="9"/>
      <c r="E66" s="9"/>
      <c r="F66" s="9"/>
      <c r="G66" s="9"/>
      <c r="H66" s="9"/>
      <c r="I66" s="9"/>
      <c r="J66" s="9"/>
      <c r="K66" s="9"/>
      <c r="L66" s="9"/>
      <c r="M66" s="9">
        <v>2.0</v>
      </c>
      <c r="N66" s="9"/>
      <c r="O66" s="9"/>
      <c r="P66" s="9">
        <v>2.0</v>
      </c>
      <c r="Q66" s="10">
        <f>IF(D66="",0,D66*'💰 Prix matériaux'!$B$3)+IF(E66="",0,E66*'💰 Prix matériaux'!$B$4)+IF(F66="",0,F66*'💰 Prix matériaux'!$B$5)+IF(G66="",0,G66*'💰 Prix matériaux'!$B$6)+IF(H66="",0,H66*'💰 Prix matériaux'!$B$7)+IF(I66="",0,I66*'💰 Prix matériaux'!$B$8)+IF(J66="",0,J66*'💰 Prix matériaux'!$B$9)+IF(K66="",0,K66*'💰 Prix matériaux'!$B$10)+IF(L66="",0,L66*'💰 Prix matériaux'!$B$11)+IF(M66="",0,M66*'💰 Prix matériaux'!$B$12)+IF(N66="",0,N66*'💰 Prix matériaux'!$B$13)+IF(O66="",0,O66*'💰 Prix matériaux'!$B$15)+IF(P66="",0,P66*'💰 Prix matériaux'!$B$16)</f>
        <v>162</v>
      </c>
      <c r="R66" s="11">
        <f t="shared" si="8"/>
        <v>262</v>
      </c>
    </row>
    <row r="67" ht="15.75" customHeight="1">
      <c r="A67" s="22" t="s">
        <v>16</v>
      </c>
      <c r="B67" s="23" t="s">
        <v>45</v>
      </c>
      <c r="C67" s="8">
        <v>100.0</v>
      </c>
      <c r="D67" s="9"/>
      <c r="E67" s="9"/>
      <c r="F67" s="9"/>
      <c r="G67" s="9"/>
      <c r="H67" s="9"/>
      <c r="I67" s="9"/>
      <c r="J67" s="9"/>
      <c r="K67" s="9"/>
      <c r="L67" s="9"/>
      <c r="M67" s="9">
        <v>1.0</v>
      </c>
      <c r="N67" s="9"/>
      <c r="O67" s="9"/>
      <c r="P67" s="9">
        <v>3.0</v>
      </c>
      <c r="Q67" s="10">
        <f>IF(D67="",0,D67*'💰 Prix matériaux'!$B$3)+IF(E67="",0,E67*'💰 Prix matériaux'!$B$4)+IF(F67="",0,F67*'💰 Prix matériaux'!$B$5)+IF(G67="",0,G67*'💰 Prix matériaux'!$B$6)+IF(H67="",0,H67*'💰 Prix matériaux'!$B$7)+IF(I67="",0,I67*'💰 Prix matériaux'!$B$8)+IF(J67="",0,J67*'💰 Prix matériaux'!$B$9)+IF(K67="",0,K67*'💰 Prix matériaux'!$B$10)+IF(L67="",0,L67*'💰 Prix matériaux'!$B$11)+IF(M67="",0,M67*'💰 Prix matériaux'!$B$12)+IF(N67="",0,N67*'💰 Prix matériaux'!$B$13)+IF(O67="",0,O67*'💰 Prix matériaux'!$B$15)+IF(P67="",0,P67*'💰 Prix matériaux'!$B$16)</f>
        <v>241</v>
      </c>
      <c r="R67" s="11">
        <f t="shared" si="8"/>
        <v>341</v>
      </c>
    </row>
    <row r="68" ht="15.75" customHeight="1">
      <c r="A68" s="22" t="s">
        <v>16</v>
      </c>
      <c r="B68" s="23" t="s">
        <v>46</v>
      </c>
      <c r="C68" s="8">
        <v>100.0</v>
      </c>
      <c r="D68" s="9"/>
      <c r="E68" s="9"/>
      <c r="F68" s="9"/>
      <c r="G68" s="9"/>
      <c r="H68" s="9"/>
      <c r="I68" s="9"/>
      <c r="J68" s="9"/>
      <c r="K68" s="9"/>
      <c r="L68" s="9"/>
      <c r="M68" s="9">
        <v>3.0</v>
      </c>
      <c r="N68" s="9"/>
      <c r="O68" s="9"/>
      <c r="P68" s="9">
        <v>5.0</v>
      </c>
      <c r="Q68" s="10">
        <f>IF(D68="",0,D68*'💰 Prix matériaux'!$B$3)+IF(E68="",0,E68*'💰 Prix matériaux'!$B$4)+IF(F68="",0,F68*'💰 Prix matériaux'!$B$5)+IF(G68="",0,G68*'💰 Prix matériaux'!$B$6)+IF(H68="",0,H68*'💰 Prix matériaux'!$B$7)+IF(I68="",0,I68*'💰 Prix matériaux'!$B$8)+IF(J68="",0,J68*'💰 Prix matériaux'!$B$9)+IF(K68="",0,K68*'💰 Prix matériaux'!$B$10)+IF(L68="",0,L68*'💰 Prix matériaux'!$B$11)+IF(M68="",0,M68*'💰 Prix matériaux'!$B$12)+IF(N68="",0,N68*'💰 Prix matériaux'!$B$13)+IF(O68="",0,O68*'💰 Prix matériaux'!$B$15)+IF(P68="",0,P68*'💰 Prix matériaux'!$B$16)</f>
        <v>403</v>
      </c>
      <c r="R68" s="11">
        <f t="shared" si="8"/>
        <v>503</v>
      </c>
    </row>
    <row r="69" ht="15.75" customHeight="1">
      <c r="A69" s="22" t="s">
        <v>16</v>
      </c>
      <c r="B69" s="23" t="s">
        <v>47</v>
      </c>
      <c r="C69" s="8">
        <v>100.0</v>
      </c>
      <c r="D69" s="9"/>
      <c r="E69" s="9"/>
      <c r="F69" s="9"/>
      <c r="G69" s="9"/>
      <c r="H69" s="9"/>
      <c r="I69" s="9"/>
      <c r="J69" s="9"/>
      <c r="K69" s="9"/>
      <c r="L69" s="9"/>
      <c r="M69" s="9">
        <v>2.0</v>
      </c>
      <c r="N69" s="9"/>
      <c r="O69" s="9"/>
      <c r="P69" s="9">
        <v>5.0</v>
      </c>
      <c r="Q69" s="10">
        <f>IF(D69="",0,D69*'💰 Prix matériaux'!$B$3)+IF(E69="",0,E69*'💰 Prix matériaux'!$B$4)+IF(F69="",0,F69*'💰 Prix matériaux'!$B$5)+IF(G69="",0,G69*'💰 Prix matériaux'!$B$6)+IF(H69="",0,H69*'💰 Prix matériaux'!$B$7)+IF(I69="",0,I69*'💰 Prix matériaux'!$B$8)+IF(J69="",0,J69*'💰 Prix matériaux'!$B$9)+IF(K69="",0,K69*'💰 Prix matériaux'!$B$10)+IF(L69="",0,L69*'💰 Prix matériaux'!$B$11)+IF(M69="",0,M69*'💰 Prix matériaux'!$B$12)+IF(N69="",0,N69*'💰 Prix matériaux'!$B$13)+IF(O69="",0,O69*'💰 Prix matériaux'!$B$15)+IF(P69="",0,P69*'💰 Prix matériaux'!$B$16)</f>
        <v>402</v>
      </c>
      <c r="R69" s="11">
        <f t="shared" si="8"/>
        <v>502</v>
      </c>
    </row>
    <row r="70" ht="15.75" customHeight="1">
      <c r="A70" s="22" t="s">
        <v>16</v>
      </c>
      <c r="B70" s="23" t="s">
        <v>48</v>
      </c>
      <c r="C70" s="8">
        <v>100.0</v>
      </c>
      <c r="D70" s="9"/>
      <c r="E70" s="9"/>
      <c r="F70" s="9"/>
      <c r="G70" s="9"/>
      <c r="H70" s="9"/>
      <c r="I70" s="9"/>
      <c r="J70" s="9"/>
      <c r="K70" s="9"/>
      <c r="L70" s="9"/>
      <c r="M70" s="9">
        <v>3.0</v>
      </c>
      <c r="N70" s="9"/>
      <c r="O70" s="9"/>
      <c r="P70" s="9">
        <v>5.0</v>
      </c>
      <c r="Q70" s="10">
        <f>IF(D70="",0,D70*'💰 Prix matériaux'!$B$3)+IF(E70="",0,E70*'💰 Prix matériaux'!$B$4)+IF(F70="",0,F70*'💰 Prix matériaux'!$B$5)+IF(G70="",0,G70*'💰 Prix matériaux'!$B$6)+IF(H70="",0,H70*'💰 Prix matériaux'!$B$7)+IF(I70="",0,I70*'💰 Prix matériaux'!$B$8)+IF(J70="",0,J70*'💰 Prix matériaux'!$B$9)+IF(K70="",0,K70*'💰 Prix matériaux'!$B$10)+IF(L70="",0,L70*'💰 Prix matériaux'!$B$11)+IF(M70="",0,M70*'💰 Prix matériaux'!$B$12)+IF(N70="",0,N70*'💰 Prix matériaux'!$B$13)+IF(O70="",0,O70*'💰 Prix matériaux'!$B$15)+IF(P70="",0,P70*'💰 Prix matériaux'!$B$16)</f>
        <v>403</v>
      </c>
      <c r="R70" s="11">
        <f t="shared" si="8"/>
        <v>503</v>
      </c>
    </row>
    <row r="71" ht="16.5" customHeight="1">
      <c r="A71" s="22" t="s">
        <v>16</v>
      </c>
      <c r="B71" s="23" t="s">
        <v>49</v>
      </c>
      <c r="C71" s="8">
        <v>100.0</v>
      </c>
      <c r="D71" s="9"/>
      <c r="E71" s="9"/>
      <c r="F71" s="9"/>
      <c r="G71" s="9"/>
      <c r="H71" s="9"/>
      <c r="I71" s="9"/>
      <c r="J71" s="9"/>
      <c r="K71" s="9">
        <v>1.0</v>
      </c>
      <c r="L71" s="9"/>
      <c r="M71" s="9"/>
      <c r="N71" s="9"/>
      <c r="O71" s="9"/>
      <c r="P71" s="9">
        <v>1.0</v>
      </c>
      <c r="Q71" s="10">
        <f>IF(D71="",0,D71*'💰 Prix matériaux'!$B$3)+IF(E71="",0,E71*'💰 Prix matériaux'!$B$4)+IF(F71="",0,F71*'💰 Prix matériaux'!$B$5)+IF(G71="",0,G71*'💰 Prix matériaux'!$B$6)+IF(H71="",0,H71*'💰 Prix matériaux'!$B$7)+IF(I71="",0,I71*'💰 Prix matériaux'!$B$8)+IF(J71="",0,J71*'💰 Prix matériaux'!$B$9)+IF(K71="",0,K71*'💰 Prix matériaux'!$B$10)+IF(L71="",0,L71*'💰 Prix matériaux'!$B$11)+IF(M71="",0,M71*'💰 Prix matériaux'!$B$12)+IF(N71="",0,N71*'💰 Prix matériaux'!$B$13)+IF(O71="",0,O71*'💰 Prix matériaux'!$B$15)+IF(P71="",0,P71*'💰 Prix matériaux'!$B$16)</f>
        <v>81</v>
      </c>
      <c r="R71" s="11">
        <f t="shared" si="8"/>
        <v>181</v>
      </c>
    </row>
    <row r="72" ht="18.0" customHeight="1">
      <c r="A72" s="5" t="s">
        <v>50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</row>
    <row r="73" ht="15.75" customHeight="1">
      <c r="A73" s="24" t="s">
        <v>51</v>
      </c>
      <c r="B73" s="25" t="s">
        <v>52</v>
      </c>
      <c r="C73" s="8">
        <v>100.0</v>
      </c>
      <c r="D73" s="9"/>
      <c r="E73" s="9"/>
      <c r="F73" s="9"/>
      <c r="G73" s="9"/>
      <c r="H73" s="9"/>
      <c r="I73" s="9"/>
      <c r="J73" s="9"/>
      <c r="K73" s="9"/>
      <c r="L73" s="9"/>
      <c r="M73" s="9">
        <v>1.0</v>
      </c>
      <c r="N73" s="9">
        <v>1.0</v>
      </c>
      <c r="O73" s="9"/>
      <c r="P73" s="9">
        <v>1.0</v>
      </c>
      <c r="Q73" s="10">
        <f>IF(D73="",0,D73*'💰 Prix matériaux'!$B$3)+IF(E73="",0,E73*'💰 Prix matériaux'!$B$4)+IF(F73="",0,F73*'💰 Prix matériaux'!$B$5)+IF(G73="",0,G73*'💰 Prix matériaux'!$B$6)+IF(H73="",0,H73*'💰 Prix matériaux'!$B$7)+IF(I73="",0,I73*'💰 Prix matériaux'!$B$8)+IF(J73="",0,J73*'💰 Prix matériaux'!$B$9)+IF(K73="",0,K73*'💰 Prix matériaux'!$B$10)+IF(L73="",0,L73*'💰 Prix matériaux'!$B$11)+IF(M73="",0,M73*'💰 Prix matériaux'!$B$12)+IF(N73="",0,N73*'💰 Prix matériaux'!$B$13)+IF(O73="",0,O73*'💰 Prix matériaux'!$B$15)+IF(P73="",0,P73*'💰 Prix matériaux'!$B$16)</f>
        <v>81</v>
      </c>
      <c r="R73" s="11">
        <f t="shared" ref="R73:R78" si="9">C73+Q73</f>
        <v>181</v>
      </c>
    </row>
    <row r="74" ht="15.75" customHeight="1">
      <c r="A74" s="24" t="s">
        <v>51</v>
      </c>
      <c r="B74" s="25" t="s">
        <v>53</v>
      </c>
      <c r="C74" s="8">
        <v>100.0</v>
      </c>
      <c r="D74" s="9"/>
      <c r="E74" s="9"/>
      <c r="F74" s="9"/>
      <c r="G74" s="9"/>
      <c r="H74" s="9"/>
      <c r="I74" s="9"/>
      <c r="J74" s="9"/>
      <c r="K74" s="9"/>
      <c r="L74" s="9"/>
      <c r="M74" s="9">
        <v>1.0</v>
      </c>
      <c r="N74" s="9">
        <v>1.0</v>
      </c>
      <c r="O74" s="9"/>
      <c r="P74" s="9">
        <v>2.0</v>
      </c>
      <c r="Q74" s="10">
        <f>IF(D74="",0,D74*'💰 Prix matériaux'!$B$3)+IF(E74="",0,E74*'💰 Prix matériaux'!$B$4)+IF(F74="",0,F74*'💰 Prix matériaux'!$B$5)+IF(G74="",0,G74*'💰 Prix matériaux'!$B$6)+IF(H74="",0,H74*'💰 Prix matériaux'!$B$7)+IF(I74="",0,I74*'💰 Prix matériaux'!$B$8)+IF(J74="",0,J74*'💰 Prix matériaux'!$B$9)+IF(K74="",0,K74*'💰 Prix matériaux'!$B$10)+IF(L74="",0,L74*'💰 Prix matériaux'!$B$11)+IF(M74="",0,M74*'💰 Prix matériaux'!$B$12)+IF(N74="",0,N74*'💰 Prix matériaux'!$B$13)+IF(O74="",0,O74*'💰 Prix matériaux'!$B$15)+IF(P74="",0,P74*'💰 Prix matériaux'!$B$16)</f>
        <v>161</v>
      </c>
      <c r="R74" s="11">
        <f t="shared" si="9"/>
        <v>261</v>
      </c>
    </row>
    <row r="75" ht="15.75" customHeight="1">
      <c r="A75" s="24" t="s">
        <v>51</v>
      </c>
      <c r="B75" s="25" t="s">
        <v>54</v>
      </c>
      <c r="C75" s="8">
        <v>100.0</v>
      </c>
      <c r="D75" s="9"/>
      <c r="E75" s="9"/>
      <c r="F75" s="9"/>
      <c r="G75" s="9"/>
      <c r="H75" s="9"/>
      <c r="I75" s="9"/>
      <c r="J75" s="9"/>
      <c r="K75" s="9"/>
      <c r="L75" s="9"/>
      <c r="M75" s="9">
        <v>2.0</v>
      </c>
      <c r="N75" s="9">
        <v>1.0</v>
      </c>
      <c r="O75" s="9"/>
      <c r="P75" s="9">
        <v>2.0</v>
      </c>
      <c r="Q75" s="10">
        <f>IF(D75="",0,D75*'💰 Prix matériaux'!$B$3)+IF(E75="",0,E75*'💰 Prix matériaux'!$B$4)+IF(F75="",0,F75*'💰 Prix matériaux'!$B$5)+IF(G75="",0,G75*'💰 Prix matériaux'!$B$6)+IF(H75="",0,H75*'💰 Prix matériaux'!$B$7)+IF(I75="",0,I75*'💰 Prix matériaux'!$B$8)+IF(J75="",0,J75*'💰 Prix matériaux'!$B$9)+IF(K75="",0,K75*'💰 Prix matériaux'!$B$10)+IF(L75="",0,L75*'💰 Prix matériaux'!$B$11)+IF(M75="",0,M75*'💰 Prix matériaux'!$B$12)+IF(N75="",0,N75*'💰 Prix matériaux'!$B$13)+IF(O75="",0,O75*'💰 Prix matériaux'!$B$15)+IF(P75="",0,P75*'💰 Prix matériaux'!$B$16)</f>
        <v>162</v>
      </c>
      <c r="R75" s="11">
        <f t="shared" si="9"/>
        <v>262</v>
      </c>
    </row>
    <row r="76" ht="15.75" customHeight="1">
      <c r="A76" s="24" t="s">
        <v>51</v>
      </c>
      <c r="B76" s="25" t="s">
        <v>55</v>
      </c>
      <c r="C76" s="8">
        <v>100.0</v>
      </c>
      <c r="D76" s="9"/>
      <c r="E76" s="9"/>
      <c r="F76" s="9"/>
      <c r="G76" s="9"/>
      <c r="H76" s="9"/>
      <c r="I76" s="9"/>
      <c r="J76" s="9"/>
      <c r="K76" s="9"/>
      <c r="L76" s="9"/>
      <c r="M76" s="9">
        <v>1.0</v>
      </c>
      <c r="N76" s="9">
        <v>1.0</v>
      </c>
      <c r="O76" s="9"/>
      <c r="P76" s="9">
        <v>3.0</v>
      </c>
      <c r="Q76" s="10">
        <f>IF(D76="",0,D76*'💰 Prix matériaux'!$B$3)+IF(E76="",0,E76*'💰 Prix matériaux'!$B$4)+IF(F76="",0,F76*'💰 Prix matériaux'!$B$5)+IF(G76="",0,G76*'💰 Prix matériaux'!$B$6)+IF(H76="",0,H76*'💰 Prix matériaux'!$B$7)+IF(I76="",0,I76*'💰 Prix matériaux'!$B$8)+IF(J76="",0,J76*'💰 Prix matériaux'!$B$9)+IF(K76="",0,K76*'💰 Prix matériaux'!$B$10)+IF(L76="",0,L76*'💰 Prix matériaux'!$B$11)+IF(M76="",0,M76*'💰 Prix matériaux'!$B$12)+IF(N76="",0,N76*'💰 Prix matériaux'!$B$13)+IF(O76="",0,O76*'💰 Prix matériaux'!$B$15)+IF(P76="",0,P76*'💰 Prix matériaux'!$B$16)</f>
        <v>241</v>
      </c>
      <c r="R76" s="11">
        <f t="shared" si="9"/>
        <v>341</v>
      </c>
    </row>
    <row r="77" ht="15.75" customHeight="1">
      <c r="A77" s="24" t="s">
        <v>51</v>
      </c>
      <c r="B77" s="25" t="s">
        <v>56</v>
      </c>
      <c r="C77" s="8">
        <v>100.0</v>
      </c>
      <c r="D77" s="9"/>
      <c r="E77" s="9"/>
      <c r="F77" s="9"/>
      <c r="G77" s="9"/>
      <c r="H77" s="9"/>
      <c r="I77" s="9"/>
      <c r="J77" s="9"/>
      <c r="K77" s="9"/>
      <c r="L77" s="9"/>
      <c r="M77" s="9">
        <v>3.0</v>
      </c>
      <c r="N77" s="9">
        <v>1.0</v>
      </c>
      <c r="O77" s="9"/>
      <c r="P77" s="9">
        <v>5.0</v>
      </c>
      <c r="Q77" s="10">
        <f>IF(D77="",0,D77*'💰 Prix matériaux'!$B$3)+IF(E77="",0,E77*'💰 Prix matériaux'!$B$4)+IF(F77="",0,F77*'💰 Prix matériaux'!$B$5)+IF(G77="",0,G77*'💰 Prix matériaux'!$B$6)+IF(H77="",0,H77*'💰 Prix matériaux'!$B$7)+IF(I77="",0,I77*'💰 Prix matériaux'!$B$8)+IF(J77="",0,J77*'💰 Prix matériaux'!$B$9)+IF(K77="",0,K77*'💰 Prix matériaux'!$B$10)+IF(L77="",0,L77*'💰 Prix matériaux'!$B$11)+IF(M77="",0,M77*'💰 Prix matériaux'!$B$12)+IF(N77="",0,N77*'💰 Prix matériaux'!$B$13)+IF(O77="",0,O77*'💰 Prix matériaux'!$B$15)+IF(P77="",0,P77*'💰 Prix matériaux'!$B$16)</f>
        <v>403</v>
      </c>
      <c r="R77" s="11">
        <f t="shared" si="9"/>
        <v>503</v>
      </c>
    </row>
    <row r="78" ht="15.75" customHeight="1">
      <c r="A78" s="24" t="s">
        <v>51</v>
      </c>
      <c r="B78" s="25" t="s">
        <v>57</v>
      </c>
      <c r="C78" s="8">
        <v>100.0</v>
      </c>
      <c r="D78" s="9"/>
      <c r="E78" s="9"/>
      <c r="F78" s="9"/>
      <c r="G78" s="9"/>
      <c r="H78" s="9"/>
      <c r="I78" s="9"/>
      <c r="J78" s="9"/>
      <c r="K78" s="9"/>
      <c r="L78" s="9"/>
      <c r="M78" s="9">
        <v>2.0</v>
      </c>
      <c r="N78" s="9">
        <v>1.0</v>
      </c>
      <c r="O78" s="9"/>
      <c r="P78" s="9">
        <v>5.0</v>
      </c>
      <c r="Q78" s="10">
        <f>IF(D78="",0,D78*'💰 Prix matériaux'!$B$3)+IF(E78="",0,E78*'💰 Prix matériaux'!$B$4)+IF(F78="",0,F78*'💰 Prix matériaux'!$B$5)+IF(G78="",0,G78*'💰 Prix matériaux'!$B$6)+IF(H78="",0,H78*'💰 Prix matériaux'!$B$7)+IF(I78="",0,I78*'💰 Prix matériaux'!$B$8)+IF(J78="",0,J78*'💰 Prix matériaux'!$B$9)+IF(K78="",0,K78*'💰 Prix matériaux'!$B$10)+IF(L78="",0,L78*'💰 Prix matériaux'!$B$11)+IF(M78="",0,M78*'💰 Prix matériaux'!$B$12)+IF(N78="",0,N78*'💰 Prix matériaux'!$B$13)+IF(O78="",0,O78*'💰 Prix matériaux'!$B$15)+IF(P78="",0,P78*'💰 Prix matériaux'!$B$16)</f>
        <v>402</v>
      </c>
      <c r="R78" s="11">
        <f t="shared" si="9"/>
        <v>502</v>
      </c>
    </row>
    <row r="79" ht="18.0" customHeight="1">
      <c r="A79" s="5" t="s">
        <v>58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</row>
    <row r="80" ht="15.75" customHeight="1">
      <c r="A80" s="26" t="s">
        <v>59</v>
      </c>
      <c r="B80" s="27" t="s">
        <v>60</v>
      </c>
      <c r="C80" s="9">
        <v>80.0</v>
      </c>
      <c r="D80" s="9"/>
      <c r="E80" s="9"/>
      <c r="F80" s="9"/>
      <c r="G80" s="9"/>
      <c r="H80" s="9"/>
      <c r="I80" s="9">
        <v>1.0</v>
      </c>
      <c r="J80" s="9"/>
      <c r="K80" s="9"/>
      <c r="L80" s="9"/>
      <c r="M80" s="9"/>
      <c r="N80" s="9"/>
      <c r="O80" s="9">
        <v>2.0</v>
      </c>
      <c r="P80" s="9"/>
      <c r="Q80" s="10">
        <f>IF(D80="",0,D80*'💰 Prix matériaux'!$B$3)+IF(E80="",0,E80*'💰 Prix matériaux'!$B$4)+IF(F80="",0,F80*'💰 Prix matériaux'!$B$5)+IF(G80="",0,G80*'💰 Prix matériaux'!$B$6)+IF(H80="",0,H80*'💰 Prix matériaux'!$B$7)+IF(I80="",0,I80*'💰 Prix matériaux'!$B$8)+IF(J80="",0,J80*'💰 Prix matériaux'!$B$9)+IF(K80="",0,K80*'💰 Prix matériaux'!$B$10)+IF(L80="",0,L80*'💰 Prix matériaux'!$B$11)+IF(M80="",0,M80*'💰 Prix matériaux'!$B$12)+IF(N80="",0,N80*'💰 Prix matériaux'!$B$13)+IF(O80="",0,O80*'💰 Prix matériaux'!$B$15)+IF(P80="",0,P80*'💰 Prix matériaux'!$B$16)</f>
        <v>184</v>
      </c>
      <c r="R80" s="11">
        <f t="shared" ref="R80:R88" si="10">C80+Q80</f>
        <v>264</v>
      </c>
    </row>
    <row r="81" ht="15.75" customHeight="1">
      <c r="A81" s="26" t="s">
        <v>59</v>
      </c>
      <c r="B81" s="27" t="s">
        <v>61</v>
      </c>
      <c r="C81" s="9">
        <v>80.0</v>
      </c>
      <c r="D81" s="9"/>
      <c r="E81" s="9"/>
      <c r="F81" s="9"/>
      <c r="G81" s="9"/>
      <c r="H81" s="9"/>
      <c r="I81" s="9">
        <v>1.0</v>
      </c>
      <c r="J81" s="9"/>
      <c r="K81" s="9"/>
      <c r="L81" s="9"/>
      <c r="M81" s="9">
        <v>1.0</v>
      </c>
      <c r="N81" s="9"/>
      <c r="O81" s="9">
        <v>1.0</v>
      </c>
      <c r="P81" s="9"/>
      <c r="Q81" s="10">
        <f>IF(D81="",0,D81*'💰 Prix matériaux'!$B$3)+IF(E81="",0,E81*'💰 Prix matériaux'!$B$4)+IF(F81="",0,F81*'💰 Prix matériaux'!$B$5)+IF(G81="",0,G81*'💰 Prix matériaux'!$B$6)+IF(H81="",0,H81*'💰 Prix matériaux'!$B$7)+IF(I81="",0,I81*'💰 Prix matériaux'!$B$8)+IF(J81="",0,J81*'💰 Prix matériaux'!$B$9)+IF(K81="",0,K81*'💰 Prix matériaux'!$B$10)+IF(L81="",0,L81*'💰 Prix matériaux'!$B$11)+IF(M81="",0,M81*'💰 Prix matériaux'!$B$12)+IF(N81="",0,N81*'💰 Prix matériaux'!$B$13)+IF(O81="",0,O81*'💰 Prix matériaux'!$B$15)+IF(P81="",0,P81*'💰 Prix matériaux'!$B$16)</f>
        <v>105</v>
      </c>
      <c r="R81" s="11">
        <f t="shared" si="10"/>
        <v>185</v>
      </c>
    </row>
    <row r="82" ht="15.75" customHeight="1">
      <c r="A82" s="26" t="s">
        <v>59</v>
      </c>
      <c r="B82" s="27" t="s">
        <v>62</v>
      </c>
      <c r="C82" s="9">
        <v>80.0</v>
      </c>
      <c r="D82" s="9"/>
      <c r="E82" s="9"/>
      <c r="F82" s="9"/>
      <c r="G82" s="9"/>
      <c r="H82" s="9"/>
      <c r="I82" s="9">
        <v>1.0</v>
      </c>
      <c r="J82" s="9"/>
      <c r="K82" s="9"/>
      <c r="L82" s="9"/>
      <c r="M82" s="9">
        <v>1.0</v>
      </c>
      <c r="N82" s="9"/>
      <c r="O82" s="9">
        <v>1.0</v>
      </c>
      <c r="P82" s="9"/>
      <c r="Q82" s="10">
        <f>IF(D82="",0,D82*'💰 Prix matériaux'!$B$3)+IF(E82="",0,E82*'💰 Prix matériaux'!$B$4)+IF(F82="",0,F82*'💰 Prix matériaux'!$B$5)+IF(G82="",0,G82*'💰 Prix matériaux'!$B$6)+IF(H82="",0,H82*'💰 Prix matériaux'!$B$7)+IF(I82="",0,I82*'💰 Prix matériaux'!$B$8)+IF(J82="",0,J82*'💰 Prix matériaux'!$B$9)+IF(K82="",0,K82*'💰 Prix matériaux'!$B$10)+IF(L82="",0,L82*'💰 Prix matériaux'!$B$11)+IF(M82="",0,M82*'💰 Prix matériaux'!$B$12)+IF(N82="",0,N82*'💰 Prix matériaux'!$B$13)+IF(O82="",0,O82*'💰 Prix matériaux'!$B$15)+IF(P82="",0,P82*'💰 Prix matériaux'!$B$16)</f>
        <v>105</v>
      </c>
      <c r="R82" s="11">
        <f t="shared" si="10"/>
        <v>185</v>
      </c>
    </row>
    <row r="83" ht="15.75" customHeight="1">
      <c r="A83" s="26" t="s">
        <v>59</v>
      </c>
      <c r="B83" s="27" t="s">
        <v>63</v>
      </c>
      <c r="C83" s="9">
        <v>80.0</v>
      </c>
      <c r="D83" s="9"/>
      <c r="E83" s="9"/>
      <c r="F83" s="9"/>
      <c r="G83" s="9"/>
      <c r="H83" s="9"/>
      <c r="I83" s="9">
        <v>1.0</v>
      </c>
      <c r="J83" s="9"/>
      <c r="K83" s="9"/>
      <c r="L83" s="9"/>
      <c r="M83" s="9">
        <v>2.0</v>
      </c>
      <c r="N83" s="9"/>
      <c r="O83" s="9">
        <v>1.0</v>
      </c>
      <c r="P83" s="9"/>
      <c r="Q83" s="10">
        <f>IF(D83="",0,D83*'💰 Prix matériaux'!$B$3)+IF(E83="",0,E83*'💰 Prix matériaux'!$B$4)+IF(F83="",0,F83*'💰 Prix matériaux'!$B$5)+IF(G83="",0,G83*'💰 Prix matériaux'!$B$6)+IF(H83="",0,H83*'💰 Prix matériaux'!$B$7)+IF(I83="",0,I83*'💰 Prix matériaux'!$B$8)+IF(J83="",0,J83*'💰 Prix matériaux'!$B$9)+IF(K83="",0,K83*'💰 Prix matériaux'!$B$10)+IF(L83="",0,L83*'💰 Prix matériaux'!$B$11)+IF(M83="",0,M83*'💰 Prix matériaux'!$B$12)+IF(N83="",0,N83*'💰 Prix matériaux'!$B$13)+IF(O83="",0,O83*'💰 Prix matériaux'!$B$15)+IF(P83="",0,P83*'💰 Prix matériaux'!$B$16)</f>
        <v>106</v>
      </c>
      <c r="R83" s="11">
        <f t="shared" si="10"/>
        <v>186</v>
      </c>
    </row>
    <row r="84" ht="15.75" customHeight="1">
      <c r="A84" s="26" t="s">
        <v>59</v>
      </c>
      <c r="B84" s="27" t="s">
        <v>64</v>
      </c>
      <c r="C84" s="9">
        <v>80.0</v>
      </c>
      <c r="D84" s="9"/>
      <c r="E84" s="9"/>
      <c r="F84" s="9"/>
      <c r="G84" s="9"/>
      <c r="H84" s="9"/>
      <c r="I84" s="9">
        <v>1.0</v>
      </c>
      <c r="J84" s="9"/>
      <c r="K84" s="9"/>
      <c r="L84" s="9"/>
      <c r="M84" s="9">
        <v>1.0</v>
      </c>
      <c r="N84" s="9"/>
      <c r="O84" s="9">
        <v>2.0</v>
      </c>
      <c r="P84" s="9"/>
      <c r="Q84" s="10">
        <f>IF(D84="",0,D84*'💰 Prix matériaux'!$B$3)+IF(E84="",0,E84*'💰 Prix matériaux'!$B$4)+IF(F84="",0,F84*'💰 Prix matériaux'!$B$5)+IF(G84="",0,G84*'💰 Prix matériaux'!$B$6)+IF(H84="",0,H84*'💰 Prix matériaux'!$B$7)+IF(I84="",0,I84*'💰 Prix matériaux'!$B$8)+IF(J84="",0,J84*'💰 Prix matériaux'!$B$9)+IF(K84="",0,K84*'💰 Prix matériaux'!$B$10)+IF(L84="",0,L84*'💰 Prix matériaux'!$B$11)+IF(M84="",0,M84*'💰 Prix matériaux'!$B$12)+IF(N84="",0,N84*'💰 Prix matériaux'!$B$13)+IF(O84="",0,O84*'💰 Prix matériaux'!$B$15)+IF(P84="",0,P84*'💰 Prix matériaux'!$B$16)</f>
        <v>185</v>
      </c>
      <c r="R84" s="11">
        <f t="shared" si="10"/>
        <v>265</v>
      </c>
    </row>
    <row r="85" ht="15.75" customHeight="1">
      <c r="A85" s="26" t="s">
        <v>59</v>
      </c>
      <c r="B85" s="27" t="s">
        <v>65</v>
      </c>
      <c r="C85" s="9">
        <v>80.0</v>
      </c>
      <c r="D85" s="9"/>
      <c r="E85" s="9"/>
      <c r="F85" s="9"/>
      <c r="G85" s="9"/>
      <c r="H85" s="9"/>
      <c r="I85" s="9">
        <v>2.0</v>
      </c>
      <c r="J85" s="9"/>
      <c r="K85" s="9"/>
      <c r="L85" s="9"/>
      <c r="M85" s="9">
        <v>3.0</v>
      </c>
      <c r="N85" s="9"/>
      <c r="O85" s="9">
        <v>2.0</v>
      </c>
      <c r="P85" s="9"/>
      <c r="Q85" s="10">
        <f>IF(D85="",0,D85*'💰 Prix matériaux'!$B$3)+IF(E85="",0,E85*'💰 Prix matériaux'!$B$4)+IF(F85="",0,F85*'💰 Prix matériaux'!$B$5)+IF(G85="",0,G85*'💰 Prix matériaux'!$B$6)+IF(H85="",0,H85*'💰 Prix matériaux'!$B$7)+IF(I85="",0,I85*'💰 Prix matériaux'!$B$8)+IF(J85="",0,J85*'💰 Prix matériaux'!$B$9)+IF(K85="",0,K85*'💰 Prix matériaux'!$B$10)+IF(L85="",0,L85*'💰 Prix matériaux'!$B$11)+IF(M85="",0,M85*'💰 Prix matériaux'!$B$12)+IF(N85="",0,N85*'💰 Prix matériaux'!$B$13)+IF(O85="",0,O85*'💰 Prix matériaux'!$B$15)+IF(P85="",0,P85*'💰 Prix matériaux'!$B$16)</f>
        <v>211</v>
      </c>
      <c r="R85" s="11">
        <f t="shared" si="10"/>
        <v>291</v>
      </c>
    </row>
    <row r="86" ht="15.75" customHeight="1">
      <c r="A86" s="26" t="s">
        <v>59</v>
      </c>
      <c r="B86" s="27" t="s">
        <v>66</v>
      </c>
      <c r="C86" s="9">
        <v>80.0</v>
      </c>
      <c r="D86" s="9"/>
      <c r="E86" s="9"/>
      <c r="F86" s="9"/>
      <c r="G86" s="9"/>
      <c r="H86" s="9"/>
      <c r="I86" s="9">
        <v>2.0</v>
      </c>
      <c r="J86" s="9"/>
      <c r="K86" s="9"/>
      <c r="L86" s="9"/>
      <c r="M86" s="9">
        <v>2.0</v>
      </c>
      <c r="N86" s="9"/>
      <c r="O86" s="9">
        <v>2.0</v>
      </c>
      <c r="P86" s="9"/>
      <c r="Q86" s="10">
        <f>IF(D86="",0,D86*'💰 Prix matériaux'!$B$3)+IF(E86="",0,E86*'💰 Prix matériaux'!$B$4)+IF(F86="",0,F86*'💰 Prix matériaux'!$B$5)+IF(G86="",0,G86*'💰 Prix matériaux'!$B$6)+IF(H86="",0,H86*'💰 Prix matériaux'!$B$7)+IF(I86="",0,I86*'💰 Prix matériaux'!$B$8)+IF(J86="",0,J86*'💰 Prix matériaux'!$B$9)+IF(K86="",0,K86*'💰 Prix matériaux'!$B$10)+IF(L86="",0,L86*'💰 Prix matériaux'!$B$11)+IF(M86="",0,M86*'💰 Prix matériaux'!$B$12)+IF(N86="",0,N86*'💰 Prix matériaux'!$B$13)+IF(O86="",0,O86*'💰 Prix matériaux'!$B$15)+IF(P86="",0,P86*'💰 Prix matériaux'!$B$16)</f>
        <v>210</v>
      </c>
      <c r="R86" s="11">
        <f t="shared" si="10"/>
        <v>290</v>
      </c>
    </row>
    <row r="87" ht="15.75" customHeight="1">
      <c r="A87" s="26" t="s">
        <v>59</v>
      </c>
      <c r="B87" s="27" t="s">
        <v>67</v>
      </c>
      <c r="C87" s="9">
        <v>80.0</v>
      </c>
      <c r="D87" s="9"/>
      <c r="E87" s="9"/>
      <c r="F87" s="9"/>
      <c r="G87" s="9"/>
      <c r="H87" s="9"/>
      <c r="I87" s="9">
        <v>2.0</v>
      </c>
      <c r="J87" s="9"/>
      <c r="K87" s="9"/>
      <c r="L87" s="9"/>
      <c r="M87" s="9">
        <v>3.0</v>
      </c>
      <c r="N87" s="9"/>
      <c r="O87" s="9">
        <v>3.0</v>
      </c>
      <c r="P87" s="9"/>
      <c r="Q87" s="10">
        <f>IF(D87="",0,D87*'💰 Prix matériaux'!$B$3)+IF(E87="",0,E87*'💰 Prix matériaux'!$B$4)+IF(F87="",0,F87*'💰 Prix matériaux'!$B$5)+IF(G87="",0,G87*'💰 Prix matériaux'!$B$6)+IF(H87="",0,H87*'💰 Prix matériaux'!$B$7)+IF(I87="",0,I87*'💰 Prix matériaux'!$B$8)+IF(J87="",0,J87*'💰 Prix matériaux'!$B$9)+IF(K87="",0,K87*'💰 Prix matériaux'!$B$10)+IF(L87="",0,L87*'💰 Prix matériaux'!$B$11)+IF(M87="",0,M87*'💰 Prix matériaux'!$B$12)+IF(N87="",0,N87*'💰 Prix matériaux'!$B$13)+IF(O87="",0,O87*'💰 Prix matériaux'!$B$15)+IF(P87="",0,P87*'💰 Prix matériaux'!$B$16)</f>
        <v>291</v>
      </c>
      <c r="R87" s="11">
        <f t="shared" si="10"/>
        <v>371</v>
      </c>
    </row>
    <row r="88" ht="15.75" customHeight="1">
      <c r="A88" s="26" t="s">
        <v>59</v>
      </c>
      <c r="B88" s="27" t="s">
        <v>68</v>
      </c>
      <c r="C88" s="9">
        <v>80.0</v>
      </c>
      <c r="D88" s="9"/>
      <c r="E88" s="9"/>
      <c r="F88" s="9"/>
      <c r="G88" s="9"/>
      <c r="H88" s="9"/>
      <c r="I88" s="9"/>
      <c r="J88" s="9"/>
      <c r="K88" s="9">
        <v>1.0</v>
      </c>
      <c r="L88" s="9"/>
      <c r="M88" s="9"/>
      <c r="N88" s="9"/>
      <c r="O88" s="9">
        <v>1.0</v>
      </c>
      <c r="P88" s="9"/>
      <c r="Q88" s="10">
        <f>IF(D88="",0,D88*'💰 Prix matériaux'!$B$3)+IF(E88="",0,E88*'💰 Prix matériaux'!$B$4)+IF(F88="",0,F88*'💰 Prix matériaux'!$B$5)+IF(G88="",0,G88*'💰 Prix matériaux'!$B$6)+IF(H88="",0,H88*'💰 Prix matériaux'!$B$7)+IF(I88="",0,I88*'💰 Prix matériaux'!$B$8)+IF(J88="",0,J88*'💰 Prix matériaux'!$B$9)+IF(K88="",0,K88*'💰 Prix matériaux'!$B$10)+IF(L88="",0,L88*'💰 Prix matériaux'!$B$11)+IF(M88="",0,M88*'💰 Prix matériaux'!$B$12)+IF(N88="",0,N88*'💰 Prix matériaux'!$B$13)+IF(O88="",0,O88*'💰 Prix matériaux'!$B$15)+IF(P88="",0,P88*'💰 Prix matériaux'!$B$16)</f>
        <v>81</v>
      </c>
      <c r="R88" s="11">
        <f t="shared" si="10"/>
        <v>161</v>
      </c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</row>
  </sheetData>
  <mergeCells count="11">
    <mergeCell ref="A52:R52"/>
    <mergeCell ref="A62:R62"/>
    <mergeCell ref="A72:R72"/>
    <mergeCell ref="A79:R79"/>
    <mergeCell ref="A1:R1"/>
    <mergeCell ref="A3:R3"/>
    <mergeCell ref="A13:R13"/>
    <mergeCell ref="A23:R23"/>
    <mergeCell ref="A33:R33"/>
    <mergeCell ref="A36:R36"/>
    <mergeCell ref="A42:R4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9BE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9.0"/>
    <col customWidth="1" min="4" max="4" width="6.0"/>
    <col customWidth="1" min="5" max="6" width="5.0"/>
    <col customWidth="1" min="7" max="8" width="9.0"/>
    <col customWidth="1" min="9" max="10" width="11.0"/>
    <col customWidth="1" min="11" max="12" width="8.0"/>
    <col customWidth="1" min="13" max="13" width="6.0"/>
    <col customWidth="1" min="14" max="14" width="9.0"/>
    <col customWidth="1" min="15" max="15" width="5.0"/>
    <col customWidth="1" min="16" max="16" width="9.0"/>
    <col customWidth="1" min="17" max="17" width="7.0"/>
    <col customWidth="1" min="18" max="19" width="10.0"/>
  </cols>
  <sheetData>
    <row r="1" ht="27.75" customHeight="1">
      <c r="A1" s="29" t="s">
        <v>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</row>
    <row r="2" ht="19.5" customHeight="1">
      <c r="A2" s="32" t="s">
        <v>1</v>
      </c>
      <c r="B2" s="32" t="s">
        <v>70</v>
      </c>
      <c r="C2" s="32" t="s">
        <v>71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  <c r="Q2" s="32" t="s">
        <v>16</v>
      </c>
      <c r="R2" s="32" t="s">
        <v>17</v>
      </c>
      <c r="S2" s="32" t="s">
        <v>18</v>
      </c>
    </row>
    <row r="3" ht="18.0" customHeight="1">
      <c r="A3" s="33" t="s">
        <v>72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</row>
    <row r="4" ht="15.75" customHeight="1">
      <c r="A4" s="34" t="s">
        <v>73</v>
      </c>
      <c r="B4" s="35" t="s">
        <v>74</v>
      </c>
      <c r="C4" s="36" t="s">
        <v>75</v>
      </c>
      <c r="D4" s="37">
        <v>15.0</v>
      </c>
      <c r="E4" s="37"/>
      <c r="F4" s="37"/>
      <c r="G4" s="37"/>
      <c r="H4" s="37"/>
      <c r="I4" s="37"/>
      <c r="J4" s="37"/>
      <c r="K4" s="37"/>
      <c r="L4" s="37"/>
      <c r="M4" s="37">
        <v>4.0</v>
      </c>
      <c r="N4" s="37">
        <v>3.0</v>
      </c>
      <c r="O4" s="37"/>
      <c r="P4" s="37"/>
      <c r="Q4" s="37"/>
      <c r="R4" s="38">
        <f>IF(E4="",0,E4*'💰 Prix matériaux'!$B$3)+IF(F4="",0,F4*'💰 Prix matériaux'!$B$4)+IF(G4="",0,G4*'💰 Prix matériaux'!$B$5)+IF(H4="",0,H4*'💰 Prix matériaux'!$B$6)+IF(I4="",0,I4*'💰 Prix matériaux'!$B$7)+IF(J4="",0,J4*'💰 Prix matériaux'!$B$8)+IF(K4="",0,K4*'💰 Prix matériaux'!$B$9)+IF(L4="",0,L4*'💰 Prix matériaux'!$B$10)+IF(M4="",0,M4*'💰 Prix matériaux'!$B$11)+IF(N4="",0,N4*'💰 Prix matériaux'!$B$12)+IF(O4="",0,O4*'💰 Prix matériaux'!$B$13)+IF(P4="",0,P4*'💰 Prix matériaux'!$B$15)+IF(Q4="",0,Q4*'💰 Prix matériaux'!$B$16)</f>
        <v>19</v>
      </c>
      <c r="S4" s="39">
        <f t="shared" ref="S4:S6" si="1">D4+R4</f>
        <v>34</v>
      </c>
    </row>
    <row r="5" ht="15.75" customHeight="1">
      <c r="A5" s="34" t="s">
        <v>73</v>
      </c>
      <c r="B5" s="35" t="s">
        <v>76</v>
      </c>
      <c r="C5" s="36" t="s">
        <v>75</v>
      </c>
      <c r="D5" s="37">
        <v>15.0</v>
      </c>
      <c r="E5" s="37"/>
      <c r="F5" s="37"/>
      <c r="G5" s="37"/>
      <c r="H5" s="37"/>
      <c r="I5" s="37"/>
      <c r="J5" s="37"/>
      <c r="K5" s="37"/>
      <c r="L5" s="37"/>
      <c r="M5" s="37">
        <v>1.0</v>
      </c>
      <c r="N5" s="37">
        <v>2.0</v>
      </c>
      <c r="O5" s="37"/>
      <c r="P5" s="37"/>
      <c r="Q5" s="37"/>
      <c r="R5" s="38">
        <f>IF(E5="",0,E5*'💰 Prix matériaux'!$B$3)+IF(F5="",0,F5*'💰 Prix matériaux'!$B$4)+IF(G5="",0,G5*'💰 Prix matériaux'!$B$5)+IF(H5="",0,H5*'💰 Prix matériaux'!$B$6)+IF(I5="",0,I5*'💰 Prix matériaux'!$B$7)+IF(J5="",0,J5*'💰 Prix matériaux'!$B$8)+IF(K5="",0,K5*'💰 Prix matériaux'!$B$9)+IF(L5="",0,L5*'💰 Prix matériaux'!$B$10)+IF(M5="",0,M5*'💰 Prix matériaux'!$B$11)+IF(N5="",0,N5*'💰 Prix matériaux'!$B$12)+IF(O5="",0,O5*'💰 Prix matériaux'!$B$13)+IF(P5="",0,P5*'💰 Prix matériaux'!$B$15)+IF(Q5="",0,Q5*'💰 Prix matériaux'!$B$16)</f>
        <v>6</v>
      </c>
      <c r="S5" s="39">
        <f t="shared" si="1"/>
        <v>21</v>
      </c>
    </row>
    <row r="6" ht="15.75" customHeight="1">
      <c r="A6" s="34" t="s">
        <v>73</v>
      </c>
      <c r="B6" s="35" t="s">
        <v>77</v>
      </c>
      <c r="C6" s="36" t="s">
        <v>75</v>
      </c>
      <c r="D6" s="37">
        <v>15.0</v>
      </c>
      <c r="E6" s="37"/>
      <c r="F6" s="37"/>
      <c r="G6" s="37"/>
      <c r="H6" s="37"/>
      <c r="I6" s="37"/>
      <c r="J6" s="37"/>
      <c r="K6" s="37"/>
      <c r="L6" s="37"/>
      <c r="M6" s="37">
        <v>2.0</v>
      </c>
      <c r="N6" s="37">
        <v>2.0</v>
      </c>
      <c r="O6" s="37"/>
      <c r="P6" s="37"/>
      <c r="Q6" s="37"/>
      <c r="R6" s="38">
        <f>IF(E6="",0,E6*'💰 Prix matériaux'!$B$3)+IF(F6="",0,F6*'💰 Prix matériaux'!$B$4)+IF(G6="",0,G6*'💰 Prix matériaux'!$B$5)+IF(H6="",0,H6*'💰 Prix matériaux'!$B$6)+IF(I6="",0,I6*'💰 Prix matériaux'!$B$7)+IF(J6="",0,J6*'💰 Prix matériaux'!$B$8)+IF(K6="",0,K6*'💰 Prix matériaux'!$B$9)+IF(L6="",0,L6*'💰 Prix matériaux'!$B$10)+IF(M6="",0,M6*'💰 Prix matériaux'!$B$11)+IF(N6="",0,N6*'💰 Prix matériaux'!$B$12)+IF(O6="",0,O6*'💰 Prix matériaux'!$B$13)+IF(P6="",0,P6*'💰 Prix matériaux'!$B$15)+IF(Q6="",0,Q6*'💰 Prix matériaux'!$B$16)</f>
        <v>10</v>
      </c>
      <c r="S6" s="39">
        <f t="shared" si="1"/>
        <v>25</v>
      </c>
    </row>
    <row r="7" ht="18.0" customHeight="1">
      <c r="A7" s="33" t="s">
        <v>78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ht="15.75" customHeight="1">
      <c r="A8" s="40" t="s">
        <v>79</v>
      </c>
      <c r="B8" s="41" t="s">
        <v>80</v>
      </c>
      <c r="C8" s="42" t="s">
        <v>81</v>
      </c>
      <c r="D8" s="37">
        <v>15.0</v>
      </c>
      <c r="E8" s="37">
        <v>5.0</v>
      </c>
      <c r="F8" s="37"/>
      <c r="G8" s="37"/>
      <c r="H8" s="37"/>
      <c r="I8" s="37"/>
      <c r="J8" s="37"/>
      <c r="K8" s="37"/>
      <c r="L8" s="37"/>
      <c r="M8" s="37"/>
      <c r="N8" s="37">
        <v>3.0</v>
      </c>
      <c r="O8" s="37"/>
      <c r="P8" s="37"/>
      <c r="Q8" s="37"/>
      <c r="R8" s="38">
        <f>IF(E8="",0,E8*'💰 Prix matériaux'!$B$3)+IF(F8="",0,F8*'💰 Prix matériaux'!$B$4)+IF(G8="",0,G8*'💰 Prix matériaux'!$B$5)+IF(H8="",0,H8*'💰 Prix matériaux'!$B$6)+IF(I8="",0,I8*'💰 Prix matériaux'!$B$7)+IF(J8="",0,J8*'💰 Prix matériaux'!$B$8)+IF(K8="",0,K8*'💰 Prix matériaux'!$B$9)+IF(L8="",0,L8*'💰 Prix matériaux'!$B$10)+IF(M8="",0,M8*'💰 Prix matériaux'!$B$11)+IF(N8="",0,N8*'💰 Prix matériaux'!$B$12)+IF(O8="",0,O8*'💰 Prix matériaux'!$B$13)+IF(P8="",0,P8*'💰 Prix matériaux'!$B$15)+IF(Q8="",0,Q8*'💰 Prix matériaux'!$B$16)</f>
        <v>23</v>
      </c>
      <c r="S8" s="39">
        <f>D8+R8</f>
        <v>38</v>
      </c>
    </row>
    <row r="9" ht="18.0" customHeight="1">
      <c r="A9" s="33" t="s">
        <v>82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</row>
    <row r="10" ht="15.75" customHeight="1">
      <c r="A10" s="43" t="s">
        <v>83</v>
      </c>
      <c r="B10" s="44" t="s">
        <v>84</v>
      </c>
      <c r="C10" s="36" t="s">
        <v>75</v>
      </c>
      <c r="D10" s="37">
        <v>5.0</v>
      </c>
      <c r="E10" s="37"/>
      <c r="F10" s="37"/>
      <c r="G10" s="37"/>
      <c r="H10" s="37"/>
      <c r="I10" s="37"/>
      <c r="J10" s="37"/>
      <c r="K10" s="37"/>
      <c r="L10" s="37"/>
      <c r="M10" s="37">
        <v>5.0</v>
      </c>
      <c r="N10" s="37">
        <v>3.0</v>
      </c>
      <c r="O10" s="37"/>
      <c r="P10" s="37"/>
      <c r="Q10" s="37"/>
      <c r="R10" s="38">
        <f>IF(E10="",0,E10*'💰 Prix matériaux'!$B$3)+IF(F10="",0,F10*'💰 Prix matériaux'!$B$4)+IF(G10="",0,G10*'💰 Prix matériaux'!$B$5)+IF(H10="",0,H10*'💰 Prix matériaux'!$B$6)+IF(I10="",0,I10*'💰 Prix matériaux'!$B$7)+IF(J10="",0,J10*'💰 Prix matériaux'!$B$8)+IF(K10="",0,K10*'💰 Prix matériaux'!$B$9)+IF(L10="",0,L10*'💰 Prix matériaux'!$B$10)+IF(M10="",0,M10*'💰 Prix matériaux'!$B$11)+IF(N10="",0,N10*'💰 Prix matériaux'!$B$12)+IF(O10="",0,O10*'💰 Prix matériaux'!$B$13)+IF(P10="",0,P10*'💰 Prix matériaux'!$B$15)+IF(Q10="",0,Q10*'💰 Prix matériaux'!$B$16)</f>
        <v>23</v>
      </c>
      <c r="S10" s="39">
        <f t="shared" ref="S10:S18" si="2">D10+R10</f>
        <v>28</v>
      </c>
    </row>
    <row r="11" ht="15.75" customHeight="1">
      <c r="A11" s="43" t="s">
        <v>83</v>
      </c>
      <c r="B11" s="44" t="s">
        <v>85</v>
      </c>
      <c r="C11" s="36" t="s">
        <v>75</v>
      </c>
      <c r="D11" s="37">
        <v>5.0</v>
      </c>
      <c r="E11" s="37"/>
      <c r="F11" s="37"/>
      <c r="G11" s="37"/>
      <c r="H11" s="37"/>
      <c r="I11" s="37"/>
      <c r="J11" s="37"/>
      <c r="K11" s="37"/>
      <c r="L11" s="37"/>
      <c r="M11" s="37">
        <v>2.0</v>
      </c>
      <c r="N11" s="37">
        <v>2.0</v>
      </c>
      <c r="O11" s="37"/>
      <c r="P11" s="37"/>
      <c r="Q11" s="37"/>
      <c r="R11" s="38">
        <f>IF(E11="",0,E11*'💰 Prix matériaux'!$B$3)+IF(F11="",0,F11*'💰 Prix matériaux'!$B$4)+IF(G11="",0,G11*'💰 Prix matériaux'!$B$5)+IF(H11="",0,H11*'💰 Prix matériaux'!$B$6)+IF(I11="",0,I11*'💰 Prix matériaux'!$B$7)+IF(J11="",0,J11*'💰 Prix matériaux'!$B$8)+IF(K11="",0,K11*'💰 Prix matériaux'!$B$9)+IF(L11="",0,L11*'💰 Prix matériaux'!$B$10)+IF(M11="",0,M11*'💰 Prix matériaux'!$B$11)+IF(N11="",0,N11*'💰 Prix matériaux'!$B$12)+IF(O11="",0,O11*'💰 Prix matériaux'!$B$13)+IF(P11="",0,P11*'💰 Prix matériaux'!$B$15)+IF(Q11="",0,Q11*'💰 Prix matériaux'!$B$16)</f>
        <v>10</v>
      </c>
      <c r="S11" s="39">
        <f t="shared" si="2"/>
        <v>15</v>
      </c>
    </row>
    <row r="12" ht="15.75" customHeight="1">
      <c r="A12" s="43" t="s">
        <v>83</v>
      </c>
      <c r="B12" s="44" t="s">
        <v>86</v>
      </c>
      <c r="C12" s="36" t="s">
        <v>75</v>
      </c>
      <c r="D12" s="37">
        <v>5.0</v>
      </c>
      <c r="E12" s="37"/>
      <c r="F12" s="37"/>
      <c r="G12" s="37"/>
      <c r="H12" s="37"/>
      <c r="I12" s="37"/>
      <c r="J12" s="37"/>
      <c r="K12" s="37"/>
      <c r="L12" s="37"/>
      <c r="M12" s="37">
        <v>2.0</v>
      </c>
      <c r="N12" s="37">
        <v>1.0</v>
      </c>
      <c r="O12" s="37"/>
      <c r="P12" s="37"/>
      <c r="Q12" s="37"/>
      <c r="R12" s="38">
        <f>IF(E12="",0,E12*'💰 Prix matériaux'!$B$3)+IF(F12="",0,F12*'💰 Prix matériaux'!$B$4)+IF(G12="",0,G12*'💰 Prix matériaux'!$B$5)+IF(H12="",0,H12*'💰 Prix matériaux'!$B$6)+IF(I12="",0,I12*'💰 Prix matériaux'!$B$7)+IF(J12="",0,J12*'💰 Prix matériaux'!$B$8)+IF(K12="",0,K12*'💰 Prix matériaux'!$B$9)+IF(L12="",0,L12*'💰 Prix matériaux'!$B$10)+IF(M12="",0,M12*'💰 Prix matériaux'!$B$11)+IF(N12="",0,N12*'💰 Prix matériaux'!$B$12)+IF(O12="",0,O12*'💰 Prix matériaux'!$B$13)+IF(P12="",0,P12*'💰 Prix matériaux'!$B$15)+IF(Q12="",0,Q12*'💰 Prix matériaux'!$B$16)</f>
        <v>9</v>
      </c>
      <c r="S12" s="39">
        <f t="shared" si="2"/>
        <v>14</v>
      </c>
    </row>
    <row r="13" ht="15.75" customHeight="1">
      <c r="A13" s="43" t="s">
        <v>83</v>
      </c>
      <c r="B13" s="44" t="s">
        <v>87</v>
      </c>
      <c r="C13" s="36" t="s">
        <v>75</v>
      </c>
      <c r="D13" s="37">
        <v>5.0</v>
      </c>
      <c r="E13" s="37"/>
      <c r="F13" s="37"/>
      <c r="G13" s="37"/>
      <c r="H13" s="37"/>
      <c r="I13" s="37"/>
      <c r="J13" s="37"/>
      <c r="K13" s="37"/>
      <c r="L13" s="37"/>
      <c r="M13" s="37">
        <v>1.0</v>
      </c>
      <c r="N13" s="37">
        <v>2.0</v>
      </c>
      <c r="O13" s="37"/>
      <c r="P13" s="37"/>
      <c r="Q13" s="37"/>
      <c r="R13" s="38">
        <f>IF(E13="",0,E13*'💰 Prix matériaux'!$B$3)+IF(F13="",0,F13*'💰 Prix matériaux'!$B$4)+IF(G13="",0,G13*'💰 Prix matériaux'!$B$5)+IF(H13="",0,H13*'💰 Prix matériaux'!$B$6)+IF(I13="",0,I13*'💰 Prix matériaux'!$B$7)+IF(J13="",0,J13*'💰 Prix matériaux'!$B$8)+IF(K13="",0,K13*'💰 Prix matériaux'!$B$9)+IF(L13="",0,L13*'💰 Prix matériaux'!$B$10)+IF(M13="",0,M13*'💰 Prix matériaux'!$B$11)+IF(N13="",0,N13*'💰 Prix matériaux'!$B$12)+IF(O13="",0,O13*'💰 Prix matériaux'!$B$13)+IF(P13="",0,P13*'💰 Prix matériaux'!$B$15)+IF(Q13="",0,Q13*'💰 Prix matériaux'!$B$16)</f>
        <v>6</v>
      </c>
      <c r="S13" s="39">
        <f t="shared" si="2"/>
        <v>11</v>
      </c>
    </row>
    <row r="14" ht="15.75" customHeight="1">
      <c r="A14" s="43" t="s">
        <v>83</v>
      </c>
      <c r="B14" s="44" t="s">
        <v>88</v>
      </c>
      <c r="C14" s="36" t="s">
        <v>75</v>
      </c>
      <c r="D14" s="37">
        <v>5.0</v>
      </c>
      <c r="E14" s="37"/>
      <c r="F14" s="37"/>
      <c r="G14" s="37"/>
      <c r="H14" s="37"/>
      <c r="I14" s="37"/>
      <c r="J14" s="37"/>
      <c r="K14" s="37"/>
      <c r="L14" s="37"/>
      <c r="M14" s="37">
        <v>4.0</v>
      </c>
      <c r="N14" s="37">
        <v>2.0</v>
      </c>
      <c r="O14" s="37"/>
      <c r="P14" s="37"/>
      <c r="Q14" s="37"/>
      <c r="R14" s="38">
        <f>IF(E14="",0,E14*'💰 Prix matériaux'!$B$3)+IF(F14="",0,F14*'💰 Prix matériaux'!$B$4)+IF(G14="",0,G14*'💰 Prix matériaux'!$B$5)+IF(H14="",0,H14*'💰 Prix matériaux'!$B$6)+IF(I14="",0,I14*'💰 Prix matériaux'!$B$7)+IF(J14="",0,J14*'💰 Prix matériaux'!$B$8)+IF(K14="",0,K14*'💰 Prix matériaux'!$B$9)+IF(L14="",0,L14*'💰 Prix matériaux'!$B$10)+IF(M14="",0,M14*'💰 Prix matériaux'!$B$11)+IF(N14="",0,N14*'💰 Prix matériaux'!$B$12)+IF(O14="",0,O14*'💰 Prix matériaux'!$B$13)+IF(P14="",0,P14*'💰 Prix matériaux'!$B$15)+IF(Q14="",0,Q14*'💰 Prix matériaux'!$B$16)</f>
        <v>18</v>
      </c>
      <c r="S14" s="39">
        <f t="shared" si="2"/>
        <v>23</v>
      </c>
    </row>
    <row r="15" ht="15.75" customHeight="1">
      <c r="A15" s="43" t="s">
        <v>83</v>
      </c>
      <c r="B15" s="44" t="s">
        <v>89</v>
      </c>
      <c r="C15" s="36" t="s">
        <v>75</v>
      </c>
      <c r="D15" s="37">
        <v>5.0</v>
      </c>
      <c r="E15" s="37"/>
      <c r="F15" s="37"/>
      <c r="G15" s="37"/>
      <c r="H15" s="37"/>
      <c r="I15" s="37"/>
      <c r="J15" s="37"/>
      <c r="K15" s="37"/>
      <c r="L15" s="37"/>
      <c r="M15" s="37">
        <v>2.0</v>
      </c>
      <c r="N15" s="37">
        <v>1.0</v>
      </c>
      <c r="O15" s="37"/>
      <c r="P15" s="37"/>
      <c r="Q15" s="37"/>
      <c r="R15" s="38">
        <f>IF(E15="",0,E15*'💰 Prix matériaux'!$B$3)+IF(F15="",0,F15*'💰 Prix matériaux'!$B$4)+IF(G15="",0,G15*'💰 Prix matériaux'!$B$5)+IF(H15="",0,H15*'💰 Prix matériaux'!$B$6)+IF(I15="",0,I15*'💰 Prix matériaux'!$B$7)+IF(J15="",0,J15*'💰 Prix matériaux'!$B$8)+IF(K15="",0,K15*'💰 Prix matériaux'!$B$9)+IF(L15="",0,L15*'💰 Prix matériaux'!$B$10)+IF(M15="",0,M15*'💰 Prix matériaux'!$B$11)+IF(N15="",0,N15*'💰 Prix matériaux'!$B$12)+IF(O15="",0,O15*'💰 Prix matériaux'!$B$13)+IF(P15="",0,P15*'💰 Prix matériaux'!$B$15)+IF(Q15="",0,Q15*'💰 Prix matériaux'!$B$16)</f>
        <v>9</v>
      </c>
      <c r="S15" s="39">
        <f t="shared" si="2"/>
        <v>14</v>
      </c>
    </row>
    <row r="16" ht="15.75" customHeight="1">
      <c r="A16" s="43" t="s">
        <v>83</v>
      </c>
      <c r="B16" s="44" t="s">
        <v>90</v>
      </c>
      <c r="C16" s="36" t="s">
        <v>75</v>
      </c>
      <c r="D16" s="37">
        <v>5.0</v>
      </c>
      <c r="E16" s="37"/>
      <c r="F16" s="37"/>
      <c r="G16" s="37"/>
      <c r="H16" s="37"/>
      <c r="I16" s="37"/>
      <c r="J16" s="37"/>
      <c r="K16" s="37"/>
      <c r="L16" s="37"/>
      <c r="M16" s="37">
        <v>2.0</v>
      </c>
      <c r="N16" s="37">
        <v>1.0</v>
      </c>
      <c r="O16" s="37"/>
      <c r="P16" s="37"/>
      <c r="Q16" s="37"/>
      <c r="R16" s="38">
        <f>IF(E16="",0,E16*'💰 Prix matériaux'!$B$3)+IF(F16="",0,F16*'💰 Prix matériaux'!$B$4)+IF(G16="",0,G16*'💰 Prix matériaux'!$B$5)+IF(H16="",0,H16*'💰 Prix matériaux'!$B$6)+IF(I16="",0,I16*'💰 Prix matériaux'!$B$7)+IF(J16="",0,J16*'💰 Prix matériaux'!$B$8)+IF(K16="",0,K16*'💰 Prix matériaux'!$B$9)+IF(L16="",0,L16*'💰 Prix matériaux'!$B$10)+IF(M16="",0,M16*'💰 Prix matériaux'!$B$11)+IF(N16="",0,N16*'💰 Prix matériaux'!$B$12)+IF(O16="",0,O16*'💰 Prix matériaux'!$B$13)+IF(P16="",0,P16*'💰 Prix matériaux'!$B$15)+IF(Q16="",0,Q16*'💰 Prix matériaux'!$B$16)</f>
        <v>9</v>
      </c>
      <c r="S16" s="39">
        <f t="shared" si="2"/>
        <v>14</v>
      </c>
    </row>
    <row r="17" ht="15.75" customHeight="1">
      <c r="A17" s="43" t="s">
        <v>83</v>
      </c>
      <c r="B17" s="44" t="s">
        <v>91</v>
      </c>
      <c r="C17" s="36" t="s">
        <v>75</v>
      </c>
      <c r="D17" s="37">
        <v>5.0</v>
      </c>
      <c r="E17" s="37"/>
      <c r="F17" s="37"/>
      <c r="G17" s="37"/>
      <c r="H17" s="37"/>
      <c r="I17" s="37"/>
      <c r="J17" s="37"/>
      <c r="K17" s="37"/>
      <c r="L17" s="37"/>
      <c r="M17" s="37">
        <v>6.0</v>
      </c>
      <c r="N17" s="37">
        <v>3.0</v>
      </c>
      <c r="O17" s="37"/>
      <c r="P17" s="37"/>
      <c r="Q17" s="37"/>
      <c r="R17" s="38">
        <f>IF(E17="",0,E17*'💰 Prix matériaux'!$B$3)+IF(F17="",0,F17*'💰 Prix matériaux'!$B$4)+IF(G17="",0,G17*'💰 Prix matériaux'!$B$5)+IF(H17="",0,H17*'💰 Prix matériaux'!$B$6)+IF(I17="",0,I17*'💰 Prix matériaux'!$B$7)+IF(J17="",0,J17*'💰 Prix matériaux'!$B$8)+IF(K17="",0,K17*'💰 Prix matériaux'!$B$9)+IF(L17="",0,L17*'💰 Prix matériaux'!$B$10)+IF(M17="",0,M17*'💰 Prix matériaux'!$B$11)+IF(N17="",0,N17*'💰 Prix matériaux'!$B$12)+IF(O17="",0,O17*'💰 Prix matériaux'!$B$13)+IF(P17="",0,P17*'💰 Prix matériaux'!$B$15)+IF(Q17="",0,Q17*'💰 Prix matériaux'!$B$16)</f>
        <v>27</v>
      </c>
      <c r="S17" s="39">
        <f t="shared" si="2"/>
        <v>32</v>
      </c>
    </row>
    <row r="18" ht="15.75" customHeight="1">
      <c r="A18" s="43" t="s">
        <v>83</v>
      </c>
      <c r="B18" s="44" t="s">
        <v>92</v>
      </c>
      <c r="C18" s="36" t="s">
        <v>75</v>
      </c>
      <c r="D18" s="37">
        <v>5.0</v>
      </c>
      <c r="E18" s="37"/>
      <c r="F18" s="37"/>
      <c r="G18" s="37"/>
      <c r="H18" s="37"/>
      <c r="I18" s="37"/>
      <c r="J18" s="37"/>
      <c r="K18" s="37"/>
      <c r="L18" s="37"/>
      <c r="M18" s="37">
        <v>5.0</v>
      </c>
      <c r="N18" s="37">
        <v>3.0</v>
      </c>
      <c r="O18" s="37"/>
      <c r="P18" s="37"/>
      <c r="Q18" s="37"/>
      <c r="R18" s="38">
        <f>IF(E18="",0,E18*'💰 Prix matériaux'!$B$3)+IF(F18="",0,F18*'💰 Prix matériaux'!$B$4)+IF(G18="",0,G18*'💰 Prix matériaux'!$B$5)+IF(H18="",0,H18*'💰 Prix matériaux'!$B$6)+IF(I18="",0,I18*'💰 Prix matériaux'!$B$7)+IF(J18="",0,J18*'💰 Prix matériaux'!$B$8)+IF(K18="",0,K18*'💰 Prix matériaux'!$B$9)+IF(L18="",0,L18*'💰 Prix matériaux'!$B$10)+IF(M18="",0,M18*'💰 Prix matériaux'!$B$11)+IF(N18="",0,N18*'💰 Prix matériaux'!$B$12)+IF(O18="",0,O18*'💰 Prix matériaux'!$B$13)+IF(P18="",0,P18*'💰 Prix matériaux'!$B$15)+IF(Q18="",0,Q18*'💰 Prix matériaux'!$B$16)</f>
        <v>23</v>
      </c>
      <c r="S18" s="39">
        <f t="shared" si="2"/>
        <v>28</v>
      </c>
    </row>
    <row r="19" ht="18.0" customHeight="1">
      <c r="A19" s="33" t="s">
        <v>93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1"/>
    </row>
    <row r="20" ht="15.75" customHeight="1">
      <c r="A20" s="45" t="s">
        <v>94</v>
      </c>
      <c r="B20" s="46" t="s">
        <v>95</v>
      </c>
      <c r="C20" s="36" t="s">
        <v>75</v>
      </c>
      <c r="D20" s="37">
        <v>5.0</v>
      </c>
      <c r="E20" s="37"/>
      <c r="F20" s="37"/>
      <c r="G20" s="37"/>
      <c r="H20" s="37"/>
      <c r="I20" s="37"/>
      <c r="J20" s="37"/>
      <c r="K20" s="37"/>
      <c r="L20" s="37"/>
      <c r="M20" s="37">
        <v>4.0</v>
      </c>
      <c r="N20" s="37">
        <v>3.0</v>
      </c>
      <c r="O20" s="37"/>
      <c r="P20" s="37"/>
      <c r="Q20" s="37"/>
      <c r="R20" s="38">
        <f>IF(E20="",0,E20*'💰 Prix matériaux'!$B$3)+IF(F20="",0,F20*'💰 Prix matériaux'!$B$4)+IF(G20="",0,G20*'💰 Prix matériaux'!$B$5)+IF(H20="",0,H20*'💰 Prix matériaux'!$B$6)+IF(I20="",0,I20*'💰 Prix matériaux'!$B$7)+IF(J20="",0,J20*'💰 Prix matériaux'!$B$8)+IF(K20="",0,K20*'💰 Prix matériaux'!$B$9)+IF(L20="",0,L20*'💰 Prix matériaux'!$B$10)+IF(M20="",0,M20*'💰 Prix matériaux'!$B$11)+IF(N20="",0,N20*'💰 Prix matériaux'!$B$12)+IF(O20="",0,O20*'💰 Prix matériaux'!$B$13)+IF(P20="",0,P20*'💰 Prix matériaux'!$B$15)+IF(Q20="",0,Q20*'💰 Prix matériaux'!$B$16)</f>
        <v>19</v>
      </c>
      <c r="S20" s="39">
        <f t="shared" ref="S20:S24" si="3">D20+R20</f>
        <v>24</v>
      </c>
    </row>
    <row r="21" ht="15.75" customHeight="1">
      <c r="A21" s="45" t="s">
        <v>94</v>
      </c>
      <c r="B21" s="46" t="s">
        <v>85</v>
      </c>
      <c r="C21" s="36" t="s">
        <v>75</v>
      </c>
      <c r="D21" s="37">
        <v>5.0</v>
      </c>
      <c r="E21" s="37"/>
      <c r="F21" s="37"/>
      <c r="G21" s="37"/>
      <c r="H21" s="37"/>
      <c r="I21" s="37"/>
      <c r="J21" s="37"/>
      <c r="K21" s="37"/>
      <c r="L21" s="37"/>
      <c r="M21" s="37">
        <v>2.0</v>
      </c>
      <c r="N21" s="37">
        <v>2.0</v>
      </c>
      <c r="O21" s="37"/>
      <c r="P21" s="37"/>
      <c r="Q21" s="37"/>
      <c r="R21" s="38">
        <f>IF(E21="",0,E21*'💰 Prix matériaux'!$B$3)+IF(F21="",0,F21*'💰 Prix matériaux'!$B$4)+IF(G21="",0,G21*'💰 Prix matériaux'!$B$5)+IF(H21="",0,H21*'💰 Prix matériaux'!$B$6)+IF(I21="",0,I21*'💰 Prix matériaux'!$B$7)+IF(J21="",0,J21*'💰 Prix matériaux'!$B$8)+IF(K21="",0,K21*'💰 Prix matériaux'!$B$9)+IF(L21="",0,L21*'💰 Prix matériaux'!$B$10)+IF(M21="",0,M21*'💰 Prix matériaux'!$B$11)+IF(N21="",0,N21*'💰 Prix matériaux'!$B$12)+IF(O21="",0,O21*'💰 Prix matériaux'!$B$13)+IF(P21="",0,P21*'💰 Prix matériaux'!$B$15)+IF(Q21="",0,Q21*'💰 Prix matériaux'!$B$16)</f>
        <v>10</v>
      </c>
      <c r="S21" s="39">
        <f t="shared" si="3"/>
        <v>15</v>
      </c>
    </row>
    <row r="22" ht="15.75" customHeight="1">
      <c r="A22" s="45" t="s">
        <v>94</v>
      </c>
      <c r="B22" s="46" t="s">
        <v>96</v>
      </c>
      <c r="C22" s="36" t="s">
        <v>75</v>
      </c>
      <c r="D22" s="37">
        <v>5.0</v>
      </c>
      <c r="E22" s="37"/>
      <c r="F22" s="37"/>
      <c r="G22" s="37"/>
      <c r="H22" s="37"/>
      <c r="I22" s="37"/>
      <c r="J22" s="37"/>
      <c r="K22" s="37"/>
      <c r="L22" s="37"/>
      <c r="M22" s="37">
        <v>2.0</v>
      </c>
      <c r="N22" s="37">
        <v>1.0</v>
      </c>
      <c r="O22" s="37"/>
      <c r="P22" s="37"/>
      <c r="Q22" s="37"/>
      <c r="R22" s="38">
        <f>IF(E22="",0,E22*'💰 Prix matériaux'!$B$3)+IF(F22="",0,F22*'💰 Prix matériaux'!$B$4)+IF(G22="",0,G22*'💰 Prix matériaux'!$B$5)+IF(H22="",0,H22*'💰 Prix matériaux'!$B$6)+IF(I22="",0,I22*'💰 Prix matériaux'!$B$7)+IF(J22="",0,J22*'💰 Prix matériaux'!$B$8)+IF(K22="",0,K22*'💰 Prix matériaux'!$B$9)+IF(L22="",0,L22*'💰 Prix matériaux'!$B$10)+IF(M22="",0,M22*'💰 Prix matériaux'!$B$11)+IF(N22="",0,N22*'💰 Prix matériaux'!$B$12)+IF(O22="",0,O22*'💰 Prix matériaux'!$B$13)+IF(P22="",0,P22*'💰 Prix matériaux'!$B$15)+IF(Q22="",0,Q22*'💰 Prix matériaux'!$B$16)</f>
        <v>9</v>
      </c>
      <c r="S22" s="39">
        <f t="shared" si="3"/>
        <v>14</v>
      </c>
    </row>
    <row r="23" ht="15.75" customHeight="1">
      <c r="A23" s="45" t="s">
        <v>94</v>
      </c>
      <c r="B23" s="46" t="s">
        <v>97</v>
      </c>
      <c r="C23" s="36" t="s">
        <v>75</v>
      </c>
      <c r="D23" s="37">
        <v>5.0</v>
      </c>
      <c r="E23" s="37"/>
      <c r="F23" s="37"/>
      <c r="G23" s="37"/>
      <c r="H23" s="37"/>
      <c r="I23" s="37"/>
      <c r="J23" s="37"/>
      <c r="K23" s="37"/>
      <c r="L23" s="37"/>
      <c r="M23" s="37">
        <v>1.0</v>
      </c>
      <c r="N23" s="37">
        <v>2.0</v>
      </c>
      <c r="O23" s="37"/>
      <c r="P23" s="37"/>
      <c r="Q23" s="37"/>
      <c r="R23" s="38">
        <f>IF(E23="",0,E23*'💰 Prix matériaux'!$B$3)+IF(F23="",0,F23*'💰 Prix matériaux'!$B$4)+IF(G23="",0,G23*'💰 Prix matériaux'!$B$5)+IF(H23="",0,H23*'💰 Prix matériaux'!$B$6)+IF(I23="",0,I23*'💰 Prix matériaux'!$B$7)+IF(J23="",0,J23*'💰 Prix matériaux'!$B$8)+IF(K23="",0,K23*'💰 Prix matériaux'!$B$9)+IF(L23="",0,L23*'💰 Prix matériaux'!$B$10)+IF(M23="",0,M23*'💰 Prix matériaux'!$B$11)+IF(N23="",0,N23*'💰 Prix matériaux'!$B$12)+IF(O23="",0,O23*'💰 Prix matériaux'!$B$13)+IF(P23="",0,P23*'💰 Prix matériaux'!$B$15)+IF(Q23="",0,Q23*'💰 Prix matériaux'!$B$16)</f>
        <v>6</v>
      </c>
      <c r="S23" s="39">
        <f t="shared" si="3"/>
        <v>11</v>
      </c>
    </row>
    <row r="24" ht="15.75" customHeight="1">
      <c r="A24" s="45" t="s">
        <v>94</v>
      </c>
      <c r="B24" s="46" t="s">
        <v>88</v>
      </c>
      <c r="C24" s="36" t="s">
        <v>75</v>
      </c>
      <c r="D24" s="37">
        <v>5.0</v>
      </c>
      <c r="E24" s="37"/>
      <c r="F24" s="37"/>
      <c r="G24" s="37"/>
      <c r="H24" s="37"/>
      <c r="I24" s="37"/>
      <c r="J24" s="37"/>
      <c r="K24" s="37"/>
      <c r="L24" s="37"/>
      <c r="M24" s="37">
        <v>4.0</v>
      </c>
      <c r="N24" s="37">
        <v>2.0</v>
      </c>
      <c r="O24" s="37"/>
      <c r="P24" s="37"/>
      <c r="Q24" s="37"/>
      <c r="R24" s="38">
        <f>IF(E24="",0,E24*'💰 Prix matériaux'!$B$3)+IF(F24="",0,F24*'💰 Prix matériaux'!$B$4)+IF(G24="",0,G24*'💰 Prix matériaux'!$B$5)+IF(H24="",0,H24*'💰 Prix matériaux'!$B$6)+IF(I24="",0,I24*'💰 Prix matériaux'!$B$7)+IF(J24="",0,J24*'💰 Prix matériaux'!$B$8)+IF(K24="",0,K24*'💰 Prix matériaux'!$B$9)+IF(L24="",0,L24*'💰 Prix matériaux'!$B$10)+IF(M24="",0,M24*'💰 Prix matériaux'!$B$11)+IF(N24="",0,N24*'💰 Prix matériaux'!$B$12)+IF(O24="",0,O24*'💰 Prix matériaux'!$B$13)+IF(P24="",0,P24*'💰 Prix matériaux'!$B$15)+IF(Q24="",0,Q24*'💰 Prix matériaux'!$B$16)</f>
        <v>18</v>
      </c>
      <c r="S24" s="39">
        <f t="shared" si="3"/>
        <v>23</v>
      </c>
    </row>
    <row r="25" ht="18.0" customHeight="1">
      <c r="A25" s="33" t="s">
        <v>98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1"/>
    </row>
    <row r="26" ht="15.75" customHeight="1">
      <c r="A26" s="47" t="s">
        <v>99</v>
      </c>
      <c r="B26" s="48" t="s">
        <v>95</v>
      </c>
      <c r="C26" s="36" t="s">
        <v>75</v>
      </c>
      <c r="D26" s="37">
        <v>5.0</v>
      </c>
      <c r="E26" s="37"/>
      <c r="F26" s="37"/>
      <c r="G26" s="37"/>
      <c r="H26" s="37"/>
      <c r="I26" s="37"/>
      <c r="J26" s="37"/>
      <c r="K26" s="37"/>
      <c r="L26" s="37"/>
      <c r="M26" s="37">
        <v>4.0</v>
      </c>
      <c r="N26" s="37">
        <v>3.0</v>
      </c>
      <c r="O26" s="37"/>
      <c r="P26" s="37"/>
      <c r="Q26" s="37"/>
      <c r="R26" s="38">
        <f>IF(E26="",0,E26*'💰 Prix matériaux'!$B$3)+IF(F26="",0,F26*'💰 Prix matériaux'!$B$4)+IF(G26="",0,G26*'💰 Prix matériaux'!$B$5)+IF(H26="",0,H26*'💰 Prix matériaux'!$B$6)+IF(I26="",0,I26*'💰 Prix matériaux'!$B$7)+IF(J26="",0,J26*'💰 Prix matériaux'!$B$8)+IF(K26="",0,K26*'💰 Prix matériaux'!$B$9)+IF(L26="",0,L26*'💰 Prix matériaux'!$B$10)+IF(M26="",0,M26*'💰 Prix matériaux'!$B$11)+IF(N26="",0,N26*'💰 Prix matériaux'!$B$12)+IF(O26="",0,O26*'💰 Prix matériaux'!$B$13)+IF(P26="",0,P26*'💰 Prix matériaux'!$B$15)+IF(Q26="",0,Q26*'💰 Prix matériaux'!$B$16)</f>
        <v>19</v>
      </c>
      <c r="S26" s="39">
        <f t="shared" ref="S26:S30" si="4">D26+R26</f>
        <v>24</v>
      </c>
    </row>
    <row r="27" ht="15.75" customHeight="1">
      <c r="A27" s="47" t="s">
        <v>99</v>
      </c>
      <c r="B27" s="48" t="s">
        <v>85</v>
      </c>
      <c r="C27" s="36" t="s">
        <v>75</v>
      </c>
      <c r="D27" s="37">
        <v>5.0</v>
      </c>
      <c r="E27" s="37"/>
      <c r="F27" s="37"/>
      <c r="G27" s="37"/>
      <c r="H27" s="37"/>
      <c r="I27" s="37"/>
      <c r="J27" s="37"/>
      <c r="K27" s="37"/>
      <c r="L27" s="37"/>
      <c r="M27" s="37">
        <v>2.0</v>
      </c>
      <c r="N27" s="37">
        <v>2.0</v>
      </c>
      <c r="O27" s="37"/>
      <c r="P27" s="37"/>
      <c r="Q27" s="37"/>
      <c r="R27" s="38">
        <f>IF(E27="",0,E27*'💰 Prix matériaux'!$B$3)+IF(F27="",0,F27*'💰 Prix matériaux'!$B$4)+IF(G27="",0,G27*'💰 Prix matériaux'!$B$5)+IF(H27="",0,H27*'💰 Prix matériaux'!$B$6)+IF(I27="",0,I27*'💰 Prix matériaux'!$B$7)+IF(J27="",0,J27*'💰 Prix matériaux'!$B$8)+IF(K27="",0,K27*'💰 Prix matériaux'!$B$9)+IF(L27="",0,L27*'💰 Prix matériaux'!$B$10)+IF(M27="",0,M27*'💰 Prix matériaux'!$B$11)+IF(N27="",0,N27*'💰 Prix matériaux'!$B$12)+IF(O27="",0,O27*'💰 Prix matériaux'!$B$13)+IF(P27="",0,P27*'💰 Prix matériaux'!$B$15)+IF(Q27="",0,Q27*'💰 Prix matériaux'!$B$16)</f>
        <v>10</v>
      </c>
      <c r="S27" s="39">
        <f t="shared" si="4"/>
        <v>15</v>
      </c>
    </row>
    <row r="28" ht="15.75" customHeight="1">
      <c r="A28" s="47" t="s">
        <v>99</v>
      </c>
      <c r="B28" s="48" t="s">
        <v>96</v>
      </c>
      <c r="C28" s="36" t="s">
        <v>75</v>
      </c>
      <c r="D28" s="37">
        <v>5.0</v>
      </c>
      <c r="E28" s="37"/>
      <c r="F28" s="37"/>
      <c r="G28" s="37"/>
      <c r="H28" s="37"/>
      <c r="I28" s="37"/>
      <c r="J28" s="37"/>
      <c r="K28" s="37"/>
      <c r="L28" s="37"/>
      <c r="M28" s="37">
        <v>2.0</v>
      </c>
      <c r="N28" s="37">
        <v>1.0</v>
      </c>
      <c r="O28" s="37"/>
      <c r="P28" s="37"/>
      <c r="Q28" s="37"/>
      <c r="R28" s="38">
        <f>IF(E28="",0,E28*'💰 Prix matériaux'!$B$3)+IF(F28="",0,F28*'💰 Prix matériaux'!$B$4)+IF(G28="",0,G28*'💰 Prix matériaux'!$B$5)+IF(H28="",0,H28*'💰 Prix matériaux'!$B$6)+IF(I28="",0,I28*'💰 Prix matériaux'!$B$7)+IF(J28="",0,J28*'💰 Prix matériaux'!$B$8)+IF(K28="",0,K28*'💰 Prix matériaux'!$B$9)+IF(L28="",0,L28*'💰 Prix matériaux'!$B$10)+IF(M28="",0,M28*'💰 Prix matériaux'!$B$11)+IF(N28="",0,N28*'💰 Prix matériaux'!$B$12)+IF(O28="",0,O28*'💰 Prix matériaux'!$B$13)+IF(P28="",0,P28*'💰 Prix matériaux'!$B$15)+IF(Q28="",0,Q28*'💰 Prix matériaux'!$B$16)</f>
        <v>9</v>
      </c>
      <c r="S28" s="39">
        <f t="shared" si="4"/>
        <v>14</v>
      </c>
    </row>
    <row r="29" ht="15.75" customHeight="1">
      <c r="A29" s="47" t="s">
        <v>99</v>
      </c>
      <c r="B29" s="48" t="s">
        <v>97</v>
      </c>
      <c r="C29" s="36" t="s">
        <v>75</v>
      </c>
      <c r="D29" s="37">
        <v>5.0</v>
      </c>
      <c r="E29" s="37"/>
      <c r="F29" s="37"/>
      <c r="G29" s="37"/>
      <c r="H29" s="37"/>
      <c r="I29" s="37"/>
      <c r="J29" s="37"/>
      <c r="K29" s="37"/>
      <c r="L29" s="37"/>
      <c r="M29" s="37">
        <v>1.0</v>
      </c>
      <c r="N29" s="37">
        <v>2.0</v>
      </c>
      <c r="O29" s="37"/>
      <c r="P29" s="37"/>
      <c r="Q29" s="37"/>
      <c r="R29" s="38">
        <f>IF(E29="",0,E29*'💰 Prix matériaux'!$B$3)+IF(F29="",0,F29*'💰 Prix matériaux'!$B$4)+IF(G29="",0,G29*'💰 Prix matériaux'!$B$5)+IF(H29="",0,H29*'💰 Prix matériaux'!$B$6)+IF(I29="",0,I29*'💰 Prix matériaux'!$B$7)+IF(J29="",0,J29*'💰 Prix matériaux'!$B$8)+IF(K29="",0,K29*'💰 Prix matériaux'!$B$9)+IF(L29="",0,L29*'💰 Prix matériaux'!$B$10)+IF(M29="",0,M29*'💰 Prix matériaux'!$B$11)+IF(N29="",0,N29*'💰 Prix matériaux'!$B$12)+IF(O29="",0,O29*'💰 Prix matériaux'!$B$13)+IF(P29="",0,P29*'💰 Prix matériaux'!$B$15)+IF(Q29="",0,Q29*'💰 Prix matériaux'!$B$16)</f>
        <v>6</v>
      </c>
      <c r="S29" s="39">
        <f t="shared" si="4"/>
        <v>11</v>
      </c>
    </row>
    <row r="30" ht="15.75" customHeight="1">
      <c r="A30" s="47" t="s">
        <v>99</v>
      </c>
      <c r="B30" s="48" t="s">
        <v>88</v>
      </c>
      <c r="C30" s="36" t="s">
        <v>75</v>
      </c>
      <c r="D30" s="37">
        <v>5.0</v>
      </c>
      <c r="E30" s="37"/>
      <c r="F30" s="37"/>
      <c r="G30" s="37"/>
      <c r="H30" s="37"/>
      <c r="I30" s="37"/>
      <c r="J30" s="37"/>
      <c r="K30" s="37"/>
      <c r="L30" s="37"/>
      <c r="M30" s="37">
        <v>4.0</v>
      </c>
      <c r="N30" s="37">
        <v>2.0</v>
      </c>
      <c r="O30" s="37"/>
      <c r="P30" s="37"/>
      <c r="Q30" s="37"/>
      <c r="R30" s="38">
        <f>IF(E30="",0,E30*'💰 Prix matériaux'!$B$3)+IF(F30="",0,F30*'💰 Prix matériaux'!$B$4)+IF(G30="",0,G30*'💰 Prix matériaux'!$B$5)+IF(H30="",0,H30*'💰 Prix matériaux'!$B$6)+IF(I30="",0,I30*'💰 Prix matériaux'!$B$7)+IF(J30="",0,J30*'💰 Prix matériaux'!$B$8)+IF(K30="",0,K30*'💰 Prix matériaux'!$B$9)+IF(L30="",0,L30*'💰 Prix matériaux'!$B$10)+IF(M30="",0,M30*'💰 Prix matériaux'!$B$11)+IF(N30="",0,N30*'💰 Prix matériaux'!$B$12)+IF(O30="",0,O30*'💰 Prix matériaux'!$B$13)+IF(P30="",0,P30*'💰 Prix matériaux'!$B$15)+IF(Q30="",0,Q30*'💰 Prix matériaux'!$B$16)</f>
        <v>18</v>
      </c>
      <c r="S30" s="39">
        <f t="shared" si="4"/>
        <v>23</v>
      </c>
    </row>
    <row r="31" ht="18.0" customHeight="1">
      <c r="A31" s="33" t="s">
        <v>100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1"/>
    </row>
    <row r="32" ht="15.75" customHeight="1">
      <c r="A32" s="49" t="s">
        <v>101</v>
      </c>
      <c r="B32" s="50" t="s">
        <v>84</v>
      </c>
      <c r="C32" s="36" t="s">
        <v>75</v>
      </c>
      <c r="D32" s="37">
        <v>5.0</v>
      </c>
      <c r="E32" s="37"/>
      <c r="F32" s="37"/>
      <c r="G32" s="37"/>
      <c r="H32" s="37"/>
      <c r="I32" s="37"/>
      <c r="J32" s="37"/>
      <c r="K32" s="37"/>
      <c r="L32" s="37"/>
      <c r="M32" s="37">
        <v>4.0</v>
      </c>
      <c r="N32" s="37">
        <v>3.0</v>
      </c>
      <c r="O32" s="37"/>
      <c r="P32" s="37"/>
      <c r="Q32" s="37"/>
      <c r="R32" s="38">
        <f>IF(E32="",0,E32*'💰 Prix matériaux'!$B$3)+IF(F32="",0,F32*'💰 Prix matériaux'!$B$4)+IF(G32="",0,G32*'💰 Prix matériaux'!$B$5)+IF(H32="",0,H32*'💰 Prix matériaux'!$B$6)+IF(I32="",0,I32*'💰 Prix matériaux'!$B$7)+IF(J32="",0,J32*'💰 Prix matériaux'!$B$8)+IF(K32="",0,K32*'💰 Prix matériaux'!$B$9)+IF(L32="",0,L32*'💰 Prix matériaux'!$B$10)+IF(M32="",0,M32*'💰 Prix matériaux'!$B$11)+IF(N32="",0,N32*'💰 Prix matériaux'!$B$12)+IF(O32="",0,O32*'💰 Prix matériaux'!$B$13)+IF(P32="",0,P32*'💰 Prix matériaux'!$B$15)+IF(Q32="",0,Q32*'💰 Prix matériaux'!$B$16)</f>
        <v>19</v>
      </c>
      <c r="S32" s="39">
        <f t="shared" ref="S32:S36" si="5">D32+R32</f>
        <v>24</v>
      </c>
    </row>
    <row r="33" ht="15.75" customHeight="1">
      <c r="A33" s="49" t="s">
        <v>101</v>
      </c>
      <c r="B33" s="50" t="s">
        <v>85</v>
      </c>
      <c r="C33" s="36" t="s">
        <v>75</v>
      </c>
      <c r="D33" s="37">
        <v>5.0</v>
      </c>
      <c r="E33" s="37"/>
      <c r="F33" s="37"/>
      <c r="G33" s="37"/>
      <c r="H33" s="37"/>
      <c r="I33" s="37"/>
      <c r="J33" s="37"/>
      <c r="K33" s="37"/>
      <c r="L33" s="37"/>
      <c r="M33" s="37">
        <v>2.0</v>
      </c>
      <c r="N33" s="37">
        <v>2.0</v>
      </c>
      <c r="O33" s="37"/>
      <c r="P33" s="37"/>
      <c r="Q33" s="37"/>
      <c r="R33" s="38">
        <f>IF(E33="",0,E33*'💰 Prix matériaux'!$B$3)+IF(F33="",0,F33*'💰 Prix matériaux'!$B$4)+IF(G33="",0,G33*'💰 Prix matériaux'!$B$5)+IF(H33="",0,H33*'💰 Prix matériaux'!$B$6)+IF(I33="",0,I33*'💰 Prix matériaux'!$B$7)+IF(J33="",0,J33*'💰 Prix matériaux'!$B$8)+IF(K33="",0,K33*'💰 Prix matériaux'!$B$9)+IF(L33="",0,L33*'💰 Prix matériaux'!$B$10)+IF(M33="",0,M33*'💰 Prix matériaux'!$B$11)+IF(N33="",0,N33*'💰 Prix matériaux'!$B$12)+IF(O33="",0,O33*'💰 Prix matériaux'!$B$13)+IF(P33="",0,P33*'💰 Prix matériaux'!$B$15)+IF(Q33="",0,Q33*'💰 Prix matériaux'!$B$16)</f>
        <v>10</v>
      </c>
      <c r="S33" s="39">
        <f t="shared" si="5"/>
        <v>15</v>
      </c>
    </row>
    <row r="34" ht="15.75" customHeight="1">
      <c r="A34" s="49" t="s">
        <v>101</v>
      </c>
      <c r="B34" s="50" t="s">
        <v>86</v>
      </c>
      <c r="C34" s="36" t="s">
        <v>75</v>
      </c>
      <c r="D34" s="37">
        <v>5.0</v>
      </c>
      <c r="E34" s="37"/>
      <c r="F34" s="37"/>
      <c r="G34" s="37"/>
      <c r="H34" s="37"/>
      <c r="I34" s="37"/>
      <c r="J34" s="37"/>
      <c r="K34" s="37"/>
      <c r="L34" s="37"/>
      <c r="M34" s="37">
        <v>2.0</v>
      </c>
      <c r="N34" s="37">
        <v>1.0</v>
      </c>
      <c r="O34" s="37"/>
      <c r="P34" s="37"/>
      <c r="Q34" s="37"/>
      <c r="R34" s="38">
        <f>IF(E34="",0,E34*'💰 Prix matériaux'!$B$3)+IF(F34="",0,F34*'💰 Prix matériaux'!$B$4)+IF(G34="",0,G34*'💰 Prix matériaux'!$B$5)+IF(H34="",0,H34*'💰 Prix matériaux'!$B$6)+IF(I34="",0,I34*'💰 Prix matériaux'!$B$7)+IF(J34="",0,J34*'💰 Prix matériaux'!$B$8)+IF(K34="",0,K34*'💰 Prix matériaux'!$B$9)+IF(L34="",0,L34*'💰 Prix matériaux'!$B$10)+IF(M34="",0,M34*'💰 Prix matériaux'!$B$11)+IF(N34="",0,N34*'💰 Prix matériaux'!$B$12)+IF(O34="",0,O34*'💰 Prix matériaux'!$B$13)+IF(P34="",0,P34*'💰 Prix matériaux'!$B$15)+IF(Q34="",0,Q34*'💰 Prix matériaux'!$B$16)</f>
        <v>9</v>
      </c>
      <c r="S34" s="39">
        <f t="shared" si="5"/>
        <v>14</v>
      </c>
    </row>
    <row r="35" ht="15.75" customHeight="1">
      <c r="A35" s="49" t="s">
        <v>101</v>
      </c>
      <c r="B35" s="50" t="s">
        <v>87</v>
      </c>
      <c r="C35" s="36" t="s">
        <v>75</v>
      </c>
      <c r="D35" s="37">
        <v>5.0</v>
      </c>
      <c r="E35" s="37"/>
      <c r="F35" s="37"/>
      <c r="G35" s="37"/>
      <c r="H35" s="37"/>
      <c r="I35" s="37"/>
      <c r="J35" s="37"/>
      <c r="K35" s="37"/>
      <c r="L35" s="37"/>
      <c r="M35" s="37">
        <v>1.0</v>
      </c>
      <c r="N35" s="37">
        <v>2.0</v>
      </c>
      <c r="O35" s="37"/>
      <c r="P35" s="37"/>
      <c r="Q35" s="37"/>
      <c r="R35" s="38">
        <f>IF(E35="",0,E35*'💰 Prix matériaux'!$B$3)+IF(F35="",0,F35*'💰 Prix matériaux'!$B$4)+IF(G35="",0,G35*'💰 Prix matériaux'!$B$5)+IF(H35="",0,H35*'💰 Prix matériaux'!$B$6)+IF(I35="",0,I35*'💰 Prix matériaux'!$B$7)+IF(J35="",0,J35*'💰 Prix matériaux'!$B$8)+IF(K35="",0,K35*'💰 Prix matériaux'!$B$9)+IF(L35="",0,L35*'💰 Prix matériaux'!$B$10)+IF(M35="",0,M35*'💰 Prix matériaux'!$B$11)+IF(N35="",0,N35*'💰 Prix matériaux'!$B$12)+IF(O35="",0,O35*'💰 Prix matériaux'!$B$13)+IF(P35="",0,P35*'💰 Prix matériaux'!$B$15)+IF(Q35="",0,Q35*'💰 Prix matériaux'!$B$16)</f>
        <v>6</v>
      </c>
      <c r="S35" s="39">
        <f t="shared" si="5"/>
        <v>11</v>
      </c>
    </row>
    <row r="36" ht="15.75" customHeight="1">
      <c r="A36" s="49" t="s">
        <v>101</v>
      </c>
      <c r="B36" s="50" t="s">
        <v>88</v>
      </c>
      <c r="C36" s="36" t="s">
        <v>75</v>
      </c>
      <c r="D36" s="37">
        <v>5.0</v>
      </c>
      <c r="E36" s="37"/>
      <c r="F36" s="37"/>
      <c r="G36" s="37"/>
      <c r="H36" s="37"/>
      <c r="I36" s="37"/>
      <c r="J36" s="37"/>
      <c r="K36" s="37"/>
      <c r="L36" s="37"/>
      <c r="M36" s="37">
        <v>4.0</v>
      </c>
      <c r="N36" s="37">
        <v>2.0</v>
      </c>
      <c r="O36" s="37"/>
      <c r="P36" s="37"/>
      <c r="Q36" s="37"/>
      <c r="R36" s="38">
        <f>IF(E36="",0,E36*'💰 Prix matériaux'!$B$3)+IF(F36="",0,F36*'💰 Prix matériaux'!$B$4)+IF(G36="",0,G36*'💰 Prix matériaux'!$B$5)+IF(H36="",0,H36*'💰 Prix matériaux'!$B$6)+IF(I36="",0,I36*'💰 Prix matériaux'!$B$7)+IF(J36="",0,J36*'💰 Prix matériaux'!$B$8)+IF(K36="",0,K36*'💰 Prix matériaux'!$B$9)+IF(L36="",0,L36*'💰 Prix matériaux'!$B$10)+IF(M36="",0,M36*'💰 Prix matériaux'!$B$11)+IF(N36="",0,N36*'💰 Prix matériaux'!$B$12)+IF(O36="",0,O36*'💰 Prix matériaux'!$B$13)+IF(P36="",0,P36*'💰 Prix matériaux'!$B$15)+IF(Q36="",0,Q36*'💰 Prix matériaux'!$B$16)</f>
        <v>18</v>
      </c>
      <c r="S36" s="39">
        <f t="shared" si="5"/>
        <v>23</v>
      </c>
    </row>
    <row r="37" ht="18.0" customHeight="1">
      <c r="A37" s="33" t="s">
        <v>102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1"/>
    </row>
    <row r="38" ht="15.75" customHeight="1">
      <c r="A38" s="51" t="s">
        <v>103</v>
      </c>
      <c r="B38" s="52" t="s">
        <v>85</v>
      </c>
      <c r="C38" s="36" t="s">
        <v>75</v>
      </c>
      <c r="D38" s="37">
        <v>5.0</v>
      </c>
      <c r="E38" s="37"/>
      <c r="F38" s="37"/>
      <c r="G38" s="37"/>
      <c r="H38" s="37"/>
      <c r="I38" s="37"/>
      <c r="J38" s="37"/>
      <c r="K38" s="37"/>
      <c r="L38" s="37"/>
      <c r="M38" s="37">
        <v>2.0</v>
      </c>
      <c r="N38" s="37">
        <v>2.0</v>
      </c>
      <c r="O38" s="37"/>
      <c r="P38" s="37"/>
      <c r="Q38" s="37"/>
      <c r="R38" s="38">
        <f>IF(E38="",0,E38*'💰 Prix matériaux'!$B$3)+IF(F38="",0,F38*'💰 Prix matériaux'!$B$4)+IF(G38="",0,G38*'💰 Prix matériaux'!$B$5)+IF(H38="",0,H38*'💰 Prix matériaux'!$B$6)+IF(I38="",0,I38*'💰 Prix matériaux'!$B$7)+IF(J38="",0,J38*'💰 Prix matériaux'!$B$8)+IF(K38="",0,K38*'💰 Prix matériaux'!$B$9)+IF(L38="",0,L38*'💰 Prix matériaux'!$B$10)+IF(M38="",0,M38*'💰 Prix matériaux'!$B$11)+IF(N38="",0,N38*'💰 Prix matériaux'!$B$12)+IF(O38="",0,O38*'💰 Prix matériaux'!$B$13)+IF(P38="",0,P38*'💰 Prix matériaux'!$B$15)+IF(Q38="",0,Q38*'💰 Prix matériaux'!$B$16)</f>
        <v>10</v>
      </c>
      <c r="S38" s="39">
        <f t="shared" ref="S38:S40" si="6">D38+R38</f>
        <v>15</v>
      </c>
    </row>
    <row r="39" ht="15.75" customHeight="1">
      <c r="A39" s="51" t="s">
        <v>103</v>
      </c>
      <c r="B39" s="52" t="s">
        <v>86</v>
      </c>
      <c r="C39" s="36" t="s">
        <v>75</v>
      </c>
      <c r="D39" s="37">
        <v>5.0</v>
      </c>
      <c r="E39" s="37"/>
      <c r="F39" s="37"/>
      <c r="G39" s="37"/>
      <c r="H39" s="37"/>
      <c r="I39" s="37"/>
      <c r="J39" s="37"/>
      <c r="K39" s="37"/>
      <c r="L39" s="37"/>
      <c r="M39" s="37">
        <v>2.0</v>
      </c>
      <c r="N39" s="37">
        <v>1.0</v>
      </c>
      <c r="O39" s="37"/>
      <c r="P39" s="37"/>
      <c r="Q39" s="37"/>
      <c r="R39" s="38">
        <f>IF(E39="",0,E39*'💰 Prix matériaux'!$B$3)+IF(F39="",0,F39*'💰 Prix matériaux'!$B$4)+IF(G39="",0,G39*'💰 Prix matériaux'!$B$5)+IF(H39="",0,H39*'💰 Prix matériaux'!$B$6)+IF(I39="",0,I39*'💰 Prix matériaux'!$B$7)+IF(J39="",0,J39*'💰 Prix matériaux'!$B$8)+IF(K39="",0,K39*'💰 Prix matériaux'!$B$9)+IF(L39="",0,L39*'💰 Prix matériaux'!$B$10)+IF(M39="",0,M39*'💰 Prix matériaux'!$B$11)+IF(N39="",0,N39*'💰 Prix matériaux'!$B$12)+IF(O39="",0,O39*'💰 Prix matériaux'!$B$13)+IF(P39="",0,P39*'💰 Prix matériaux'!$B$15)+IF(Q39="",0,Q39*'💰 Prix matériaux'!$B$16)</f>
        <v>9</v>
      </c>
      <c r="S39" s="39">
        <f t="shared" si="6"/>
        <v>14</v>
      </c>
    </row>
    <row r="40" ht="15.75" customHeight="1">
      <c r="A40" s="51" t="s">
        <v>103</v>
      </c>
      <c r="B40" s="52" t="s">
        <v>87</v>
      </c>
      <c r="C40" s="36" t="s">
        <v>75</v>
      </c>
      <c r="D40" s="37">
        <v>5.0</v>
      </c>
      <c r="E40" s="37"/>
      <c r="F40" s="37"/>
      <c r="G40" s="37"/>
      <c r="H40" s="37"/>
      <c r="I40" s="37"/>
      <c r="J40" s="37"/>
      <c r="K40" s="37"/>
      <c r="L40" s="37"/>
      <c r="M40" s="37">
        <v>1.0</v>
      </c>
      <c r="N40" s="37">
        <v>2.0</v>
      </c>
      <c r="O40" s="37"/>
      <c r="P40" s="37"/>
      <c r="Q40" s="37"/>
      <c r="R40" s="38">
        <f>IF(E40="",0,E40*'💰 Prix matériaux'!$B$3)+IF(F40="",0,F40*'💰 Prix matériaux'!$B$4)+IF(G40="",0,G40*'💰 Prix matériaux'!$B$5)+IF(H40="",0,H40*'💰 Prix matériaux'!$B$6)+IF(I40="",0,I40*'💰 Prix matériaux'!$B$7)+IF(J40="",0,J40*'💰 Prix matériaux'!$B$8)+IF(K40="",0,K40*'💰 Prix matériaux'!$B$9)+IF(L40="",0,L40*'💰 Prix matériaux'!$B$10)+IF(M40="",0,M40*'💰 Prix matériaux'!$B$11)+IF(N40="",0,N40*'💰 Prix matériaux'!$B$12)+IF(O40="",0,O40*'💰 Prix matériaux'!$B$13)+IF(P40="",0,P40*'💰 Prix matériaux'!$B$15)+IF(Q40="",0,Q40*'💰 Prix matériaux'!$B$16)</f>
        <v>6</v>
      </c>
      <c r="S40" s="39">
        <f t="shared" si="6"/>
        <v>11</v>
      </c>
    </row>
    <row r="41" ht="18.0" customHeight="1">
      <c r="A41" s="33" t="s">
        <v>104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1"/>
    </row>
    <row r="42" ht="15.75" customHeight="1">
      <c r="A42" s="53" t="s">
        <v>105</v>
      </c>
      <c r="B42" s="54" t="s">
        <v>84</v>
      </c>
      <c r="C42" s="36" t="s">
        <v>75</v>
      </c>
      <c r="D42" s="37">
        <v>5.0</v>
      </c>
      <c r="E42" s="37"/>
      <c r="F42" s="37"/>
      <c r="G42" s="37"/>
      <c r="H42" s="37"/>
      <c r="I42" s="37"/>
      <c r="J42" s="37"/>
      <c r="K42" s="37"/>
      <c r="L42" s="37"/>
      <c r="M42" s="37">
        <v>4.0</v>
      </c>
      <c r="N42" s="37">
        <v>3.0</v>
      </c>
      <c r="O42" s="37"/>
      <c r="P42" s="37"/>
      <c r="Q42" s="37"/>
      <c r="R42" s="38">
        <f>IF(E42="",0,E42*'💰 Prix matériaux'!$B$3)+IF(F42="",0,F42*'💰 Prix matériaux'!$B$4)+IF(G42="",0,G42*'💰 Prix matériaux'!$B$5)+IF(H42="",0,H42*'💰 Prix matériaux'!$B$6)+IF(I42="",0,I42*'💰 Prix matériaux'!$B$7)+IF(J42="",0,J42*'💰 Prix matériaux'!$B$8)+IF(K42="",0,K42*'💰 Prix matériaux'!$B$9)+IF(L42="",0,L42*'💰 Prix matériaux'!$B$10)+IF(M42="",0,M42*'💰 Prix matériaux'!$B$11)+IF(N42="",0,N42*'💰 Prix matériaux'!$B$12)+IF(O42="",0,O42*'💰 Prix matériaux'!$B$13)+IF(P42="",0,P42*'💰 Prix matériaux'!$B$15)+IF(Q42="",0,Q42*'💰 Prix matériaux'!$B$16)</f>
        <v>19</v>
      </c>
      <c r="S42" s="39">
        <f t="shared" ref="S42:S46" si="7">D42+R42</f>
        <v>24</v>
      </c>
    </row>
    <row r="43" ht="15.75" customHeight="1">
      <c r="A43" s="53" t="s">
        <v>105</v>
      </c>
      <c r="B43" s="54" t="s">
        <v>85</v>
      </c>
      <c r="C43" s="36" t="s">
        <v>75</v>
      </c>
      <c r="D43" s="37">
        <v>5.0</v>
      </c>
      <c r="E43" s="37"/>
      <c r="F43" s="37"/>
      <c r="G43" s="37"/>
      <c r="H43" s="37"/>
      <c r="I43" s="37"/>
      <c r="J43" s="37"/>
      <c r="K43" s="37"/>
      <c r="L43" s="37"/>
      <c r="M43" s="37">
        <v>2.0</v>
      </c>
      <c r="N43" s="37">
        <v>2.0</v>
      </c>
      <c r="O43" s="37"/>
      <c r="P43" s="37"/>
      <c r="Q43" s="37"/>
      <c r="R43" s="38">
        <f>IF(E43="",0,E43*'💰 Prix matériaux'!$B$3)+IF(F43="",0,F43*'💰 Prix matériaux'!$B$4)+IF(G43="",0,G43*'💰 Prix matériaux'!$B$5)+IF(H43="",0,H43*'💰 Prix matériaux'!$B$6)+IF(I43="",0,I43*'💰 Prix matériaux'!$B$7)+IF(J43="",0,J43*'💰 Prix matériaux'!$B$8)+IF(K43="",0,K43*'💰 Prix matériaux'!$B$9)+IF(L43="",0,L43*'💰 Prix matériaux'!$B$10)+IF(M43="",0,M43*'💰 Prix matériaux'!$B$11)+IF(N43="",0,N43*'💰 Prix matériaux'!$B$12)+IF(O43="",0,O43*'💰 Prix matériaux'!$B$13)+IF(P43="",0,P43*'💰 Prix matériaux'!$B$15)+IF(Q43="",0,Q43*'💰 Prix matériaux'!$B$16)</f>
        <v>10</v>
      </c>
      <c r="S43" s="39">
        <f t="shared" si="7"/>
        <v>15</v>
      </c>
    </row>
    <row r="44" ht="15.75" customHeight="1">
      <c r="A44" s="53" t="s">
        <v>105</v>
      </c>
      <c r="B44" s="54" t="s">
        <v>106</v>
      </c>
      <c r="C44" s="36" t="s">
        <v>75</v>
      </c>
      <c r="D44" s="37">
        <v>5.0</v>
      </c>
      <c r="E44" s="37"/>
      <c r="F44" s="37"/>
      <c r="G44" s="37"/>
      <c r="H44" s="37"/>
      <c r="I44" s="37"/>
      <c r="J44" s="37"/>
      <c r="K44" s="37"/>
      <c r="L44" s="37"/>
      <c r="M44" s="37">
        <v>1.0</v>
      </c>
      <c r="N44" s="37">
        <v>2.0</v>
      </c>
      <c r="O44" s="37"/>
      <c r="P44" s="37"/>
      <c r="Q44" s="37"/>
      <c r="R44" s="38">
        <f>IF(E44="",0,E44*'💰 Prix matériaux'!$B$3)+IF(F44="",0,F44*'💰 Prix matériaux'!$B$4)+IF(G44="",0,G44*'💰 Prix matériaux'!$B$5)+IF(H44="",0,H44*'💰 Prix matériaux'!$B$6)+IF(I44="",0,I44*'💰 Prix matériaux'!$B$7)+IF(J44="",0,J44*'💰 Prix matériaux'!$B$8)+IF(K44="",0,K44*'💰 Prix matériaux'!$B$9)+IF(L44="",0,L44*'💰 Prix matériaux'!$B$10)+IF(M44="",0,M44*'💰 Prix matériaux'!$B$11)+IF(N44="",0,N44*'💰 Prix matériaux'!$B$12)+IF(O44="",0,O44*'💰 Prix matériaux'!$B$13)+IF(P44="",0,P44*'💰 Prix matériaux'!$B$15)+IF(Q44="",0,Q44*'💰 Prix matériaux'!$B$16)</f>
        <v>6</v>
      </c>
      <c r="S44" s="39">
        <f t="shared" si="7"/>
        <v>11</v>
      </c>
    </row>
    <row r="45" ht="15.75" customHeight="1">
      <c r="A45" s="53" t="s">
        <v>105</v>
      </c>
      <c r="B45" s="54" t="s">
        <v>107</v>
      </c>
      <c r="C45" s="36" t="s">
        <v>75</v>
      </c>
      <c r="D45" s="37">
        <v>5.0</v>
      </c>
      <c r="E45" s="37"/>
      <c r="F45" s="37"/>
      <c r="G45" s="37"/>
      <c r="H45" s="37"/>
      <c r="I45" s="37"/>
      <c r="J45" s="37"/>
      <c r="K45" s="37"/>
      <c r="L45" s="37"/>
      <c r="M45" s="37">
        <v>2.0</v>
      </c>
      <c r="N45" s="37">
        <v>1.0</v>
      </c>
      <c r="O45" s="37"/>
      <c r="P45" s="37"/>
      <c r="Q45" s="37"/>
      <c r="R45" s="38">
        <f>IF(E45="",0,E45*'💰 Prix matériaux'!$B$3)+IF(F45="",0,F45*'💰 Prix matériaux'!$B$4)+IF(G45="",0,G45*'💰 Prix matériaux'!$B$5)+IF(H45="",0,H45*'💰 Prix matériaux'!$B$6)+IF(I45="",0,I45*'💰 Prix matériaux'!$B$7)+IF(J45="",0,J45*'💰 Prix matériaux'!$B$8)+IF(K45="",0,K45*'💰 Prix matériaux'!$B$9)+IF(L45="",0,L45*'💰 Prix matériaux'!$B$10)+IF(M45="",0,M45*'💰 Prix matériaux'!$B$11)+IF(N45="",0,N45*'💰 Prix matériaux'!$B$12)+IF(O45="",0,O45*'💰 Prix matériaux'!$B$13)+IF(P45="",0,P45*'💰 Prix matériaux'!$B$15)+IF(Q45="",0,Q45*'💰 Prix matériaux'!$B$16)</f>
        <v>9</v>
      </c>
      <c r="S45" s="39">
        <f t="shared" si="7"/>
        <v>14</v>
      </c>
    </row>
    <row r="46" ht="15.75" customHeight="1">
      <c r="A46" s="53" t="s">
        <v>105</v>
      </c>
      <c r="B46" s="54" t="s">
        <v>108</v>
      </c>
      <c r="C46" s="36" t="s">
        <v>75</v>
      </c>
      <c r="D46" s="37">
        <v>5.0</v>
      </c>
      <c r="E46" s="37"/>
      <c r="F46" s="37"/>
      <c r="G46" s="37"/>
      <c r="H46" s="37"/>
      <c r="I46" s="37"/>
      <c r="J46" s="37"/>
      <c r="K46" s="37"/>
      <c r="L46" s="37"/>
      <c r="M46" s="37">
        <v>2.0</v>
      </c>
      <c r="N46" s="37">
        <v>1.0</v>
      </c>
      <c r="O46" s="37"/>
      <c r="P46" s="37"/>
      <c r="Q46" s="37"/>
      <c r="R46" s="38">
        <f>IF(E46="",0,E46*'💰 Prix matériaux'!$B$3)+IF(F46="",0,F46*'💰 Prix matériaux'!$B$4)+IF(G46="",0,G46*'💰 Prix matériaux'!$B$5)+IF(H46="",0,H46*'💰 Prix matériaux'!$B$6)+IF(I46="",0,I46*'💰 Prix matériaux'!$B$7)+IF(J46="",0,J46*'💰 Prix matériaux'!$B$8)+IF(K46="",0,K46*'💰 Prix matériaux'!$B$9)+IF(L46="",0,L46*'💰 Prix matériaux'!$B$10)+IF(M46="",0,M46*'💰 Prix matériaux'!$B$11)+IF(N46="",0,N46*'💰 Prix matériaux'!$B$12)+IF(O46="",0,O46*'💰 Prix matériaux'!$B$13)+IF(P46="",0,P46*'💰 Prix matériaux'!$B$15)+IF(Q46="",0,Q46*'💰 Prix matériaux'!$B$16)</f>
        <v>9</v>
      </c>
      <c r="S46" s="39">
        <f t="shared" si="7"/>
        <v>14</v>
      </c>
    </row>
    <row r="47" ht="18.0" customHeight="1">
      <c r="A47" s="33" t="s">
        <v>109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1"/>
    </row>
    <row r="48" ht="15.75" customHeight="1">
      <c r="A48" s="55" t="s">
        <v>12</v>
      </c>
      <c r="B48" s="56" t="s">
        <v>84</v>
      </c>
      <c r="C48" s="36" t="s">
        <v>75</v>
      </c>
      <c r="D48" s="37">
        <v>5.0</v>
      </c>
      <c r="E48" s="37"/>
      <c r="F48" s="37"/>
      <c r="G48" s="37"/>
      <c r="H48" s="37"/>
      <c r="I48" s="37"/>
      <c r="J48" s="37"/>
      <c r="K48" s="37"/>
      <c r="L48" s="37"/>
      <c r="M48" s="37">
        <v>4.0</v>
      </c>
      <c r="N48" s="37">
        <v>3.0</v>
      </c>
      <c r="O48" s="37"/>
      <c r="P48" s="37"/>
      <c r="Q48" s="37"/>
      <c r="R48" s="38">
        <f>IF(E48="",0,E48*'💰 Prix matériaux'!$B$3)+IF(F48="",0,F48*'💰 Prix matériaux'!$B$4)+IF(G48="",0,G48*'💰 Prix matériaux'!$B$5)+IF(H48="",0,H48*'💰 Prix matériaux'!$B$6)+IF(I48="",0,I48*'💰 Prix matériaux'!$B$7)+IF(J48="",0,J48*'💰 Prix matériaux'!$B$8)+IF(K48="",0,K48*'💰 Prix matériaux'!$B$9)+IF(L48="",0,L48*'💰 Prix matériaux'!$B$10)+IF(M48="",0,M48*'💰 Prix matériaux'!$B$11)+IF(N48="",0,N48*'💰 Prix matériaux'!$B$12)+IF(O48="",0,O48*'💰 Prix matériaux'!$B$13)+IF(P48="",0,P48*'💰 Prix matériaux'!$B$15)+IF(Q48="",0,Q48*'💰 Prix matériaux'!$B$16)</f>
        <v>19</v>
      </c>
      <c r="S48" s="39">
        <f t="shared" ref="S48:S51" si="8">D48+R48</f>
        <v>24</v>
      </c>
    </row>
    <row r="49" ht="15.75" customHeight="1">
      <c r="A49" s="55" t="s">
        <v>12</v>
      </c>
      <c r="B49" s="56" t="s">
        <v>85</v>
      </c>
      <c r="C49" s="36" t="s">
        <v>75</v>
      </c>
      <c r="D49" s="37">
        <v>5.0</v>
      </c>
      <c r="E49" s="37"/>
      <c r="F49" s="37"/>
      <c r="G49" s="37"/>
      <c r="H49" s="37"/>
      <c r="I49" s="37"/>
      <c r="J49" s="37"/>
      <c r="K49" s="37"/>
      <c r="L49" s="37"/>
      <c r="M49" s="37">
        <v>2.0</v>
      </c>
      <c r="N49" s="37">
        <v>2.0</v>
      </c>
      <c r="O49" s="37"/>
      <c r="P49" s="37"/>
      <c r="Q49" s="37"/>
      <c r="R49" s="38">
        <f>IF(E49="",0,E49*'💰 Prix matériaux'!$B$3)+IF(F49="",0,F49*'💰 Prix matériaux'!$B$4)+IF(G49="",0,G49*'💰 Prix matériaux'!$B$5)+IF(H49="",0,H49*'💰 Prix matériaux'!$B$6)+IF(I49="",0,I49*'💰 Prix matériaux'!$B$7)+IF(J49="",0,J49*'💰 Prix matériaux'!$B$8)+IF(K49="",0,K49*'💰 Prix matériaux'!$B$9)+IF(L49="",0,L49*'💰 Prix matériaux'!$B$10)+IF(M49="",0,M49*'💰 Prix matériaux'!$B$11)+IF(N49="",0,N49*'💰 Prix matériaux'!$B$12)+IF(O49="",0,O49*'💰 Prix matériaux'!$B$13)+IF(P49="",0,P49*'💰 Prix matériaux'!$B$15)+IF(Q49="",0,Q49*'💰 Prix matériaux'!$B$16)</f>
        <v>10</v>
      </c>
      <c r="S49" s="39">
        <f t="shared" si="8"/>
        <v>15</v>
      </c>
    </row>
    <row r="50" ht="15.75" customHeight="1">
      <c r="A50" s="55" t="s">
        <v>12</v>
      </c>
      <c r="B50" s="56" t="s">
        <v>86</v>
      </c>
      <c r="C50" s="36" t="s">
        <v>75</v>
      </c>
      <c r="D50" s="37">
        <v>5.0</v>
      </c>
      <c r="E50" s="37"/>
      <c r="F50" s="37"/>
      <c r="G50" s="37"/>
      <c r="H50" s="37"/>
      <c r="I50" s="37"/>
      <c r="J50" s="37"/>
      <c r="K50" s="37"/>
      <c r="L50" s="37"/>
      <c r="M50" s="37">
        <v>2.0</v>
      </c>
      <c r="N50" s="37">
        <v>1.0</v>
      </c>
      <c r="O50" s="37"/>
      <c r="P50" s="37"/>
      <c r="Q50" s="37"/>
      <c r="R50" s="38">
        <f>IF(E50="",0,E50*'💰 Prix matériaux'!$B$3)+IF(F50="",0,F50*'💰 Prix matériaux'!$B$4)+IF(G50="",0,G50*'💰 Prix matériaux'!$B$5)+IF(H50="",0,H50*'💰 Prix matériaux'!$B$6)+IF(I50="",0,I50*'💰 Prix matériaux'!$B$7)+IF(J50="",0,J50*'💰 Prix matériaux'!$B$8)+IF(K50="",0,K50*'💰 Prix matériaux'!$B$9)+IF(L50="",0,L50*'💰 Prix matériaux'!$B$10)+IF(M50="",0,M50*'💰 Prix matériaux'!$B$11)+IF(N50="",0,N50*'💰 Prix matériaux'!$B$12)+IF(O50="",0,O50*'💰 Prix matériaux'!$B$13)+IF(P50="",0,P50*'💰 Prix matériaux'!$B$15)+IF(Q50="",0,Q50*'💰 Prix matériaux'!$B$16)</f>
        <v>9</v>
      </c>
      <c r="S50" s="39">
        <f t="shared" si="8"/>
        <v>14</v>
      </c>
    </row>
    <row r="51" ht="15.75" customHeight="1">
      <c r="A51" s="55" t="s">
        <v>12</v>
      </c>
      <c r="B51" s="56" t="s">
        <v>87</v>
      </c>
      <c r="C51" s="36" t="s">
        <v>75</v>
      </c>
      <c r="D51" s="37">
        <v>5.0</v>
      </c>
      <c r="E51" s="37"/>
      <c r="F51" s="37"/>
      <c r="G51" s="37"/>
      <c r="H51" s="37"/>
      <c r="I51" s="37"/>
      <c r="J51" s="37"/>
      <c r="K51" s="37"/>
      <c r="L51" s="37"/>
      <c r="M51" s="37">
        <v>1.0</v>
      </c>
      <c r="N51" s="37">
        <v>2.0</v>
      </c>
      <c r="O51" s="37"/>
      <c r="P51" s="37"/>
      <c r="Q51" s="37"/>
      <c r="R51" s="38">
        <f>IF(E51="",0,E51*'💰 Prix matériaux'!$B$3)+IF(F51="",0,F51*'💰 Prix matériaux'!$B$4)+IF(G51="",0,G51*'💰 Prix matériaux'!$B$5)+IF(H51="",0,H51*'💰 Prix matériaux'!$B$6)+IF(I51="",0,I51*'💰 Prix matériaux'!$B$7)+IF(J51="",0,J51*'💰 Prix matériaux'!$B$8)+IF(K51="",0,K51*'💰 Prix matériaux'!$B$9)+IF(L51="",0,L51*'💰 Prix matériaux'!$B$10)+IF(M51="",0,M51*'💰 Prix matériaux'!$B$11)+IF(N51="",0,N51*'💰 Prix matériaux'!$B$12)+IF(O51="",0,O51*'💰 Prix matériaux'!$B$13)+IF(P51="",0,P51*'💰 Prix matériaux'!$B$15)+IF(Q51="",0,Q51*'💰 Prix matériaux'!$B$16)</f>
        <v>6</v>
      </c>
      <c r="S51" s="39">
        <f t="shared" si="8"/>
        <v>11</v>
      </c>
    </row>
    <row r="52" ht="18.0" customHeight="1">
      <c r="A52" s="33" t="s">
        <v>110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1"/>
    </row>
    <row r="53" ht="15.75" customHeight="1">
      <c r="A53" s="57" t="s">
        <v>111</v>
      </c>
      <c r="B53" s="58" t="s">
        <v>84</v>
      </c>
      <c r="C53" s="36" t="s">
        <v>75</v>
      </c>
      <c r="D53" s="37">
        <v>5.0</v>
      </c>
      <c r="E53" s="37"/>
      <c r="F53" s="37"/>
      <c r="G53" s="37"/>
      <c r="H53" s="37"/>
      <c r="I53" s="37"/>
      <c r="J53" s="37"/>
      <c r="K53" s="37"/>
      <c r="L53" s="37"/>
      <c r="M53" s="37">
        <v>4.0</v>
      </c>
      <c r="N53" s="37">
        <v>3.0</v>
      </c>
      <c r="O53" s="37"/>
      <c r="P53" s="37"/>
      <c r="Q53" s="37"/>
      <c r="R53" s="38">
        <f>IF(E53="",0,E53*'💰 Prix matériaux'!$B$3)+IF(F53="",0,F53*'💰 Prix matériaux'!$B$4)+IF(G53="",0,G53*'💰 Prix matériaux'!$B$5)+IF(H53="",0,H53*'💰 Prix matériaux'!$B$6)+IF(I53="",0,I53*'💰 Prix matériaux'!$B$7)+IF(J53="",0,J53*'💰 Prix matériaux'!$B$8)+IF(K53="",0,K53*'💰 Prix matériaux'!$B$9)+IF(L53="",0,L53*'💰 Prix matériaux'!$B$10)+IF(M53="",0,M53*'💰 Prix matériaux'!$B$11)+IF(N53="",0,N53*'💰 Prix matériaux'!$B$12)+IF(O53="",0,O53*'💰 Prix matériaux'!$B$13)+IF(P53="",0,P53*'💰 Prix matériaux'!$B$15)+IF(Q53="",0,Q53*'💰 Prix matériaux'!$B$16)</f>
        <v>19</v>
      </c>
      <c r="S53" s="39">
        <f t="shared" ref="S53:S56" si="9">D53+R53</f>
        <v>24</v>
      </c>
    </row>
    <row r="54" ht="15.75" customHeight="1">
      <c r="A54" s="57" t="s">
        <v>111</v>
      </c>
      <c r="B54" s="58" t="s">
        <v>85</v>
      </c>
      <c r="C54" s="36" t="s">
        <v>75</v>
      </c>
      <c r="D54" s="37">
        <v>5.0</v>
      </c>
      <c r="E54" s="37"/>
      <c r="F54" s="37"/>
      <c r="G54" s="37"/>
      <c r="H54" s="37"/>
      <c r="I54" s="37"/>
      <c r="J54" s="37"/>
      <c r="K54" s="37"/>
      <c r="L54" s="37"/>
      <c r="M54" s="37">
        <v>2.0</v>
      </c>
      <c r="N54" s="37">
        <v>2.0</v>
      </c>
      <c r="O54" s="37"/>
      <c r="P54" s="37"/>
      <c r="Q54" s="37"/>
      <c r="R54" s="38">
        <f>IF(E54="",0,E54*'💰 Prix matériaux'!$B$3)+IF(F54="",0,F54*'💰 Prix matériaux'!$B$4)+IF(G54="",0,G54*'💰 Prix matériaux'!$B$5)+IF(H54="",0,H54*'💰 Prix matériaux'!$B$6)+IF(I54="",0,I54*'💰 Prix matériaux'!$B$7)+IF(J54="",0,J54*'💰 Prix matériaux'!$B$8)+IF(K54="",0,K54*'💰 Prix matériaux'!$B$9)+IF(L54="",0,L54*'💰 Prix matériaux'!$B$10)+IF(M54="",0,M54*'💰 Prix matériaux'!$B$11)+IF(N54="",0,N54*'💰 Prix matériaux'!$B$12)+IF(O54="",0,O54*'💰 Prix matériaux'!$B$13)+IF(P54="",0,P54*'💰 Prix matériaux'!$B$15)+IF(Q54="",0,Q54*'💰 Prix matériaux'!$B$16)</f>
        <v>10</v>
      </c>
      <c r="S54" s="39">
        <f t="shared" si="9"/>
        <v>15</v>
      </c>
    </row>
    <row r="55" ht="15.75" customHeight="1">
      <c r="A55" s="57" t="s">
        <v>111</v>
      </c>
      <c r="B55" s="58" t="s">
        <v>86</v>
      </c>
      <c r="C55" s="36" t="s">
        <v>75</v>
      </c>
      <c r="D55" s="37">
        <v>5.0</v>
      </c>
      <c r="E55" s="37"/>
      <c r="F55" s="37"/>
      <c r="G55" s="37"/>
      <c r="H55" s="37"/>
      <c r="I55" s="37"/>
      <c r="J55" s="37"/>
      <c r="K55" s="37"/>
      <c r="L55" s="37"/>
      <c r="M55" s="37">
        <v>2.0</v>
      </c>
      <c r="N55" s="37">
        <v>1.0</v>
      </c>
      <c r="O55" s="37"/>
      <c r="P55" s="37"/>
      <c r="Q55" s="37"/>
      <c r="R55" s="38">
        <f>IF(E55="",0,E55*'💰 Prix matériaux'!$B$3)+IF(F55="",0,F55*'💰 Prix matériaux'!$B$4)+IF(G55="",0,G55*'💰 Prix matériaux'!$B$5)+IF(H55="",0,H55*'💰 Prix matériaux'!$B$6)+IF(I55="",0,I55*'💰 Prix matériaux'!$B$7)+IF(J55="",0,J55*'💰 Prix matériaux'!$B$8)+IF(K55="",0,K55*'💰 Prix matériaux'!$B$9)+IF(L55="",0,L55*'💰 Prix matériaux'!$B$10)+IF(M55="",0,M55*'💰 Prix matériaux'!$B$11)+IF(N55="",0,N55*'💰 Prix matériaux'!$B$12)+IF(O55="",0,O55*'💰 Prix matériaux'!$B$13)+IF(P55="",0,P55*'💰 Prix matériaux'!$B$15)+IF(Q55="",0,Q55*'💰 Prix matériaux'!$B$16)</f>
        <v>9</v>
      </c>
      <c r="S55" s="39">
        <f t="shared" si="9"/>
        <v>14</v>
      </c>
    </row>
    <row r="56" ht="15.75" customHeight="1">
      <c r="A56" s="57" t="s">
        <v>111</v>
      </c>
      <c r="B56" s="58" t="s">
        <v>87</v>
      </c>
      <c r="C56" s="36" t="s">
        <v>75</v>
      </c>
      <c r="D56" s="37">
        <v>5.0</v>
      </c>
      <c r="E56" s="37"/>
      <c r="F56" s="37"/>
      <c r="G56" s="37"/>
      <c r="H56" s="37"/>
      <c r="I56" s="37"/>
      <c r="J56" s="37"/>
      <c r="K56" s="37"/>
      <c r="L56" s="37"/>
      <c r="M56" s="37">
        <v>1.0</v>
      </c>
      <c r="N56" s="37">
        <v>2.0</v>
      </c>
      <c r="O56" s="37"/>
      <c r="P56" s="37"/>
      <c r="Q56" s="37"/>
      <c r="R56" s="38">
        <f>IF(E56="",0,E56*'💰 Prix matériaux'!$B$3)+IF(F56="",0,F56*'💰 Prix matériaux'!$B$4)+IF(G56="",0,G56*'💰 Prix matériaux'!$B$5)+IF(H56="",0,H56*'💰 Prix matériaux'!$B$6)+IF(I56="",0,I56*'💰 Prix matériaux'!$B$7)+IF(J56="",0,J56*'💰 Prix matériaux'!$B$8)+IF(K56="",0,K56*'💰 Prix matériaux'!$B$9)+IF(L56="",0,L56*'💰 Prix matériaux'!$B$10)+IF(M56="",0,M56*'💰 Prix matériaux'!$B$11)+IF(N56="",0,N56*'💰 Prix matériaux'!$B$12)+IF(O56="",0,O56*'💰 Prix matériaux'!$B$13)+IF(P56="",0,P56*'💰 Prix matériaux'!$B$15)+IF(Q56="",0,Q56*'💰 Prix matériaux'!$B$16)</f>
        <v>6</v>
      </c>
      <c r="S56" s="39">
        <f t="shared" si="9"/>
        <v>11</v>
      </c>
    </row>
    <row r="57" ht="18.0" customHeight="1">
      <c r="A57" s="33" t="s">
        <v>112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1"/>
    </row>
    <row r="58" ht="15.75" customHeight="1">
      <c r="A58" s="59" t="s">
        <v>113</v>
      </c>
      <c r="B58" s="60" t="s">
        <v>84</v>
      </c>
      <c r="C58" s="36" t="s">
        <v>75</v>
      </c>
      <c r="D58" s="37">
        <v>5.0</v>
      </c>
      <c r="E58" s="37"/>
      <c r="F58" s="37"/>
      <c r="G58" s="37"/>
      <c r="H58" s="37"/>
      <c r="I58" s="37"/>
      <c r="J58" s="37"/>
      <c r="K58" s="37"/>
      <c r="L58" s="37"/>
      <c r="M58" s="37">
        <v>4.0</v>
      </c>
      <c r="N58" s="37">
        <v>3.0</v>
      </c>
      <c r="O58" s="37"/>
      <c r="P58" s="37"/>
      <c r="Q58" s="37"/>
      <c r="R58" s="38">
        <f>IF(E58="",0,E58*'💰 Prix matériaux'!$B$3)+IF(F58="",0,F58*'💰 Prix matériaux'!$B$4)+IF(G58="",0,G58*'💰 Prix matériaux'!$B$5)+IF(H58="",0,H58*'💰 Prix matériaux'!$B$6)+IF(I58="",0,I58*'💰 Prix matériaux'!$B$7)+IF(J58="",0,J58*'💰 Prix matériaux'!$B$8)+IF(K58="",0,K58*'💰 Prix matériaux'!$B$9)+IF(L58="",0,L58*'💰 Prix matériaux'!$B$10)+IF(M58="",0,M58*'💰 Prix matériaux'!$B$11)+IF(N58="",0,N58*'💰 Prix matériaux'!$B$12)+IF(O58="",0,O58*'💰 Prix matériaux'!$B$13)+IF(P58="",0,P58*'💰 Prix matériaux'!$B$15)+IF(Q58="",0,Q58*'💰 Prix matériaux'!$B$16)</f>
        <v>19</v>
      </c>
      <c r="S58" s="39">
        <f t="shared" ref="S58:S62" si="10">D58+R58</f>
        <v>24</v>
      </c>
    </row>
    <row r="59" ht="15.75" customHeight="1">
      <c r="A59" s="59" t="s">
        <v>113</v>
      </c>
      <c r="B59" s="60" t="s">
        <v>85</v>
      </c>
      <c r="C59" s="36" t="s">
        <v>75</v>
      </c>
      <c r="D59" s="37">
        <v>5.0</v>
      </c>
      <c r="E59" s="37"/>
      <c r="F59" s="37"/>
      <c r="G59" s="37"/>
      <c r="H59" s="37"/>
      <c r="I59" s="37"/>
      <c r="J59" s="37"/>
      <c r="K59" s="37"/>
      <c r="L59" s="37"/>
      <c r="M59" s="37">
        <v>2.0</v>
      </c>
      <c r="N59" s="37">
        <v>2.0</v>
      </c>
      <c r="O59" s="37"/>
      <c r="P59" s="37"/>
      <c r="Q59" s="37"/>
      <c r="R59" s="38">
        <f>IF(E59="",0,E59*'💰 Prix matériaux'!$B$3)+IF(F59="",0,F59*'💰 Prix matériaux'!$B$4)+IF(G59="",0,G59*'💰 Prix matériaux'!$B$5)+IF(H59="",0,H59*'💰 Prix matériaux'!$B$6)+IF(I59="",0,I59*'💰 Prix matériaux'!$B$7)+IF(J59="",0,J59*'💰 Prix matériaux'!$B$8)+IF(K59="",0,K59*'💰 Prix matériaux'!$B$9)+IF(L59="",0,L59*'💰 Prix matériaux'!$B$10)+IF(M59="",0,M59*'💰 Prix matériaux'!$B$11)+IF(N59="",0,N59*'💰 Prix matériaux'!$B$12)+IF(O59="",0,O59*'💰 Prix matériaux'!$B$13)+IF(P59="",0,P59*'💰 Prix matériaux'!$B$15)+IF(Q59="",0,Q59*'💰 Prix matériaux'!$B$16)</f>
        <v>10</v>
      </c>
      <c r="S59" s="39">
        <f t="shared" si="10"/>
        <v>15</v>
      </c>
    </row>
    <row r="60" ht="15.75" customHeight="1">
      <c r="A60" s="59" t="s">
        <v>113</v>
      </c>
      <c r="B60" s="60" t="s">
        <v>86</v>
      </c>
      <c r="C60" s="36" t="s">
        <v>75</v>
      </c>
      <c r="D60" s="37">
        <v>5.0</v>
      </c>
      <c r="E60" s="37"/>
      <c r="F60" s="37"/>
      <c r="G60" s="37"/>
      <c r="H60" s="37"/>
      <c r="I60" s="37"/>
      <c r="J60" s="37"/>
      <c r="K60" s="37"/>
      <c r="L60" s="37"/>
      <c r="M60" s="37">
        <v>2.0</v>
      </c>
      <c r="N60" s="37">
        <v>1.0</v>
      </c>
      <c r="O60" s="37"/>
      <c r="P60" s="37"/>
      <c r="Q60" s="37"/>
      <c r="R60" s="38">
        <f>IF(E60="",0,E60*'💰 Prix matériaux'!$B$3)+IF(F60="",0,F60*'💰 Prix matériaux'!$B$4)+IF(G60="",0,G60*'💰 Prix matériaux'!$B$5)+IF(H60="",0,H60*'💰 Prix matériaux'!$B$6)+IF(I60="",0,I60*'💰 Prix matériaux'!$B$7)+IF(J60="",0,J60*'💰 Prix matériaux'!$B$8)+IF(K60="",0,K60*'💰 Prix matériaux'!$B$9)+IF(L60="",0,L60*'💰 Prix matériaux'!$B$10)+IF(M60="",0,M60*'💰 Prix matériaux'!$B$11)+IF(N60="",0,N60*'💰 Prix matériaux'!$B$12)+IF(O60="",0,O60*'💰 Prix matériaux'!$B$13)+IF(P60="",0,P60*'💰 Prix matériaux'!$B$15)+IF(Q60="",0,Q60*'💰 Prix matériaux'!$B$16)</f>
        <v>9</v>
      </c>
      <c r="S60" s="39">
        <f t="shared" si="10"/>
        <v>14</v>
      </c>
    </row>
    <row r="61" ht="15.75" customHeight="1">
      <c r="A61" s="59" t="s">
        <v>113</v>
      </c>
      <c r="B61" s="60" t="s">
        <v>87</v>
      </c>
      <c r="C61" s="36" t="s">
        <v>75</v>
      </c>
      <c r="D61" s="37">
        <v>5.0</v>
      </c>
      <c r="E61" s="37"/>
      <c r="F61" s="37"/>
      <c r="G61" s="37"/>
      <c r="H61" s="37"/>
      <c r="I61" s="37"/>
      <c r="J61" s="37"/>
      <c r="K61" s="37"/>
      <c r="L61" s="37"/>
      <c r="M61" s="37">
        <v>1.0</v>
      </c>
      <c r="N61" s="37">
        <v>2.0</v>
      </c>
      <c r="O61" s="37"/>
      <c r="P61" s="37"/>
      <c r="Q61" s="37"/>
      <c r="R61" s="38">
        <f>IF(E61="",0,E61*'💰 Prix matériaux'!$B$3)+IF(F61="",0,F61*'💰 Prix matériaux'!$B$4)+IF(G61="",0,G61*'💰 Prix matériaux'!$B$5)+IF(H61="",0,H61*'💰 Prix matériaux'!$B$6)+IF(I61="",0,I61*'💰 Prix matériaux'!$B$7)+IF(J61="",0,J61*'💰 Prix matériaux'!$B$8)+IF(K61="",0,K61*'💰 Prix matériaux'!$B$9)+IF(L61="",0,L61*'💰 Prix matériaux'!$B$10)+IF(M61="",0,M61*'💰 Prix matériaux'!$B$11)+IF(N61="",0,N61*'💰 Prix matériaux'!$B$12)+IF(O61="",0,O61*'💰 Prix matériaux'!$B$13)+IF(P61="",0,P61*'💰 Prix matériaux'!$B$15)+IF(Q61="",0,Q61*'💰 Prix matériaux'!$B$16)</f>
        <v>6</v>
      </c>
      <c r="S61" s="39">
        <f t="shared" si="10"/>
        <v>11</v>
      </c>
    </row>
    <row r="62" ht="15.75" customHeight="1">
      <c r="A62" s="59" t="s">
        <v>113</v>
      </c>
      <c r="B62" s="60" t="s">
        <v>88</v>
      </c>
      <c r="C62" s="36" t="s">
        <v>75</v>
      </c>
      <c r="D62" s="37">
        <v>5.0</v>
      </c>
      <c r="E62" s="37"/>
      <c r="F62" s="37"/>
      <c r="G62" s="37"/>
      <c r="H62" s="37"/>
      <c r="I62" s="37"/>
      <c r="J62" s="37"/>
      <c r="K62" s="37"/>
      <c r="L62" s="37"/>
      <c r="M62" s="37">
        <v>4.0</v>
      </c>
      <c r="N62" s="37">
        <v>2.0</v>
      </c>
      <c r="O62" s="37"/>
      <c r="P62" s="37"/>
      <c r="Q62" s="37"/>
      <c r="R62" s="38">
        <f>IF(E62="",0,E62*'💰 Prix matériaux'!$B$3)+IF(F62="",0,F62*'💰 Prix matériaux'!$B$4)+IF(G62="",0,G62*'💰 Prix matériaux'!$B$5)+IF(H62="",0,H62*'💰 Prix matériaux'!$B$6)+IF(I62="",0,I62*'💰 Prix matériaux'!$B$7)+IF(J62="",0,J62*'💰 Prix matériaux'!$B$8)+IF(K62="",0,K62*'💰 Prix matériaux'!$B$9)+IF(L62="",0,L62*'💰 Prix matériaux'!$B$10)+IF(M62="",0,M62*'💰 Prix matériaux'!$B$11)+IF(N62="",0,N62*'💰 Prix matériaux'!$B$12)+IF(O62="",0,O62*'💰 Prix matériaux'!$B$13)+IF(P62="",0,P62*'💰 Prix matériaux'!$B$15)+IF(Q62="",0,Q62*'💰 Prix matériaux'!$B$16)</f>
        <v>18</v>
      </c>
      <c r="S62" s="39">
        <f t="shared" si="10"/>
        <v>23</v>
      </c>
    </row>
    <row r="63" ht="18.0" customHeight="1">
      <c r="A63" s="33" t="s">
        <v>114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1"/>
    </row>
    <row r="64" ht="15.75" customHeight="1">
      <c r="A64" s="61" t="s">
        <v>115</v>
      </c>
      <c r="B64" s="62" t="s">
        <v>84</v>
      </c>
      <c r="C64" s="36" t="s">
        <v>75</v>
      </c>
      <c r="D64" s="37">
        <v>5.0</v>
      </c>
      <c r="E64" s="37">
        <v>1.0</v>
      </c>
      <c r="F64" s="37"/>
      <c r="G64" s="37"/>
      <c r="H64" s="37"/>
      <c r="I64" s="37"/>
      <c r="J64" s="37"/>
      <c r="K64" s="37"/>
      <c r="L64" s="37"/>
      <c r="M64" s="37">
        <v>4.0</v>
      </c>
      <c r="N64" s="37">
        <v>3.0</v>
      </c>
      <c r="O64" s="37"/>
      <c r="P64" s="37"/>
      <c r="Q64" s="37"/>
      <c r="R64" s="38">
        <f>IF(E64="",0,E64*'💰 Prix matériaux'!$B$3)+IF(F64="",0,F64*'💰 Prix matériaux'!$B$4)+IF(G64="",0,G64*'💰 Prix matériaux'!$B$5)+IF(H64="",0,H64*'💰 Prix matériaux'!$B$6)+IF(I64="",0,I64*'💰 Prix matériaux'!$B$7)+IF(J64="",0,J64*'💰 Prix matériaux'!$B$8)+IF(K64="",0,K64*'💰 Prix matériaux'!$B$9)+IF(L64="",0,L64*'💰 Prix matériaux'!$B$10)+IF(M64="",0,M64*'💰 Prix matériaux'!$B$11)+IF(N64="",0,N64*'💰 Prix matériaux'!$B$12)+IF(O64="",0,O64*'💰 Prix matériaux'!$B$13)+IF(P64="",0,P64*'💰 Prix matériaux'!$B$15)+IF(Q64="",0,Q64*'💰 Prix matériaux'!$B$16)</f>
        <v>23</v>
      </c>
      <c r="S64" s="39">
        <f>D64+R64</f>
        <v>28</v>
      </c>
    </row>
    <row r="65" ht="18.0" customHeight="1">
      <c r="A65" s="33" t="s">
        <v>116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1"/>
    </row>
    <row r="66" ht="15.75" customHeight="1">
      <c r="A66" s="63" t="s">
        <v>117</v>
      </c>
      <c r="B66" s="64" t="s">
        <v>84</v>
      </c>
      <c r="C66" s="36" t="s">
        <v>75</v>
      </c>
      <c r="D66" s="37">
        <v>5.0</v>
      </c>
      <c r="E66" s="37">
        <v>1.0</v>
      </c>
      <c r="F66" s="37"/>
      <c r="G66" s="37"/>
      <c r="H66" s="37"/>
      <c r="I66" s="37"/>
      <c r="J66" s="37"/>
      <c r="K66" s="37"/>
      <c r="L66" s="37"/>
      <c r="M66" s="37">
        <v>4.0</v>
      </c>
      <c r="N66" s="37">
        <v>3.0</v>
      </c>
      <c r="O66" s="37"/>
      <c r="P66" s="37"/>
      <c r="Q66" s="37"/>
      <c r="R66" s="38">
        <f>IF(E66="",0,E66*'💰 Prix matériaux'!$B$3)+IF(F66="",0,F66*'💰 Prix matériaux'!$B$4)+IF(G66="",0,G66*'💰 Prix matériaux'!$B$5)+IF(H66="",0,H66*'💰 Prix matériaux'!$B$6)+IF(I66="",0,I66*'💰 Prix matériaux'!$B$7)+IF(J66="",0,J66*'💰 Prix matériaux'!$B$8)+IF(K66="",0,K66*'💰 Prix matériaux'!$B$9)+IF(L66="",0,L66*'💰 Prix matériaux'!$B$10)+IF(M66="",0,M66*'💰 Prix matériaux'!$B$11)+IF(N66="",0,N66*'💰 Prix matériaux'!$B$12)+IF(O66="",0,O66*'💰 Prix matériaux'!$B$13)+IF(P66="",0,P66*'💰 Prix matériaux'!$B$15)+IF(Q66="",0,Q66*'💰 Prix matériaux'!$B$16)</f>
        <v>23</v>
      </c>
      <c r="S66" s="39">
        <f>D66+R66</f>
        <v>28</v>
      </c>
    </row>
    <row r="67" ht="18.0" customHeight="1">
      <c r="A67" s="33" t="s">
        <v>19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1"/>
    </row>
    <row r="68" ht="15.75" customHeight="1">
      <c r="A68" s="65" t="s">
        <v>4</v>
      </c>
      <c r="B68" s="66" t="s">
        <v>84</v>
      </c>
      <c r="C68" s="42" t="s">
        <v>81</v>
      </c>
      <c r="D68" s="37">
        <v>10.0</v>
      </c>
      <c r="E68" s="37">
        <v>5.0</v>
      </c>
      <c r="F68" s="37"/>
      <c r="G68" s="37"/>
      <c r="H68" s="37"/>
      <c r="I68" s="37"/>
      <c r="J68" s="37"/>
      <c r="K68" s="37"/>
      <c r="L68" s="37"/>
      <c r="M68" s="37"/>
      <c r="N68" s="37">
        <v>3.0</v>
      </c>
      <c r="O68" s="37"/>
      <c r="P68" s="37"/>
      <c r="Q68" s="37"/>
      <c r="R68" s="38">
        <f>IF(E68="",0,E68*'💰 Prix matériaux'!$B$3)+IF(F68="",0,F68*'💰 Prix matériaux'!$B$4)+IF(G68="",0,G68*'💰 Prix matériaux'!$B$5)+IF(H68="",0,H68*'💰 Prix matériaux'!$B$6)+IF(I68="",0,I68*'💰 Prix matériaux'!$B$7)+IF(J68="",0,J68*'💰 Prix matériaux'!$B$8)+IF(K68="",0,K68*'💰 Prix matériaux'!$B$9)+IF(L68="",0,L68*'💰 Prix matériaux'!$B$10)+IF(M68="",0,M68*'💰 Prix matériaux'!$B$11)+IF(N68="",0,N68*'💰 Prix matériaux'!$B$12)+IF(O68="",0,O68*'💰 Prix matériaux'!$B$13)+IF(P68="",0,P68*'💰 Prix matériaux'!$B$15)+IF(Q68="",0,Q68*'💰 Prix matériaux'!$B$16)</f>
        <v>23</v>
      </c>
      <c r="S68" s="39">
        <f t="shared" ref="S68:S72" si="11">D68+R68</f>
        <v>33</v>
      </c>
    </row>
    <row r="69" ht="15.75" customHeight="1">
      <c r="A69" s="65" t="s">
        <v>4</v>
      </c>
      <c r="B69" s="66" t="s">
        <v>85</v>
      </c>
      <c r="C69" s="42" t="s">
        <v>81</v>
      </c>
      <c r="D69" s="37">
        <v>10.0</v>
      </c>
      <c r="E69" s="37">
        <v>3.0</v>
      </c>
      <c r="F69" s="37"/>
      <c r="G69" s="37"/>
      <c r="H69" s="37"/>
      <c r="I69" s="37"/>
      <c r="J69" s="37"/>
      <c r="K69" s="37"/>
      <c r="L69" s="37"/>
      <c r="M69" s="37"/>
      <c r="N69" s="37">
        <v>2.0</v>
      </c>
      <c r="O69" s="37"/>
      <c r="P69" s="37"/>
      <c r="Q69" s="37"/>
      <c r="R69" s="38">
        <f>IF(E69="",0,E69*'💰 Prix matériaux'!$B$3)+IF(F69="",0,F69*'💰 Prix matériaux'!$B$4)+IF(G69="",0,G69*'💰 Prix matériaux'!$B$5)+IF(H69="",0,H69*'💰 Prix matériaux'!$B$6)+IF(I69="",0,I69*'💰 Prix matériaux'!$B$7)+IF(J69="",0,J69*'💰 Prix matériaux'!$B$8)+IF(K69="",0,K69*'💰 Prix matériaux'!$B$9)+IF(L69="",0,L69*'💰 Prix matériaux'!$B$10)+IF(M69="",0,M69*'💰 Prix matériaux'!$B$11)+IF(N69="",0,N69*'💰 Prix matériaux'!$B$12)+IF(O69="",0,O69*'💰 Prix matériaux'!$B$13)+IF(P69="",0,P69*'💰 Prix matériaux'!$B$15)+IF(Q69="",0,Q69*'💰 Prix matériaux'!$B$16)</f>
        <v>14</v>
      </c>
      <c r="S69" s="39">
        <f t="shared" si="11"/>
        <v>24</v>
      </c>
    </row>
    <row r="70" ht="15.75" customHeight="1">
      <c r="A70" s="65" t="s">
        <v>4</v>
      </c>
      <c r="B70" s="66" t="s">
        <v>86</v>
      </c>
      <c r="C70" s="42" t="s">
        <v>81</v>
      </c>
      <c r="D70" s="37">
        <v>10.0</v>
      </c>
      <c r="E70" s="37">
        <v>3.0</v>
      </c>
      <c r="F70" s="37"/>
      <c r="G70" s="37"/>
      <c r="H70" s="37"/>
      <c r="I70" s="37"/>
      <c r="J70" s="37"/>
      <c r="K70" s="37"/>
      <c r="L70" s="37"/>
      <c r="M70" s="37"/>
      <c r="N70" s="37">
        <v>2.0</v>
      </c>
      <c r="O70" s="37"/>
      <c r="P70" s="37"/>
      <c r="Q70" s="37"/>
      <c r="R70" s="38">
        <f>IF(E70="",0,E70*'💰 Prix matériaux'!$B$3)+IF(F70="",0,F70*'💰 Prix matériaux'!$B$4)+IF(G70="",0,G70*'💰 Prix matériaux'!$B$5)+IF(H70="",0,H70*'💰 Prix matériaux'!$B$6)+IF(I70="",0,I70*'💰 Prix matériaux'!$B$7)+IF(J70="",0,J70*'💰 Prix matériaux'!$B$8)+IF(K70="",0,K70*'💰 Prix matériaux'!$B$9)+IF(L70="",0,L70*'💰 Prix matériaux'!$B$10)+IF(M70="",0,M70*'💰 Prix matériaux'!$B$11)+IF(N70="",0,N70*'💰 Prix matériaux'!$B$12)+IF(O70="",0,O70*'💰 Prix matériaux'!$B$13)+IF(P70="",0,P70*'💰 Prix matériaux'!$B$15)+IF(Q70="",0,Q70*'💰 Prix matériaux'!$B$16)</f>
        <v>14</v>
      </c>
      <c r="S70" s="39">
        <f t="shared" si="11"/>
        <v>24</v>
      </c>
    </row>
    <row r="71" ht="15.75" customHeight="1">
      <c r="A71" s="65" t="s">
        <v>4</v>
      </c>
      <c r="B71" s="66" t="s">
        <v>87</v>
      </c>
      <c r="C71" s="42" t="s">
        <v>81</v>
      </c>
      <c r="D71" s="37">
        <v>10.0</v>
      </c>
      <c r="E71" s="37">
        <v>2.0</v>
      </c>
      <c r="F71" s="37"/>
      <c r="G71" s="37"/>
      <c r="H71" s="37"/>
      <c r="I71" s="37"/>
      <c r="J71" s="37"/>
      <c r="K71" s="37"/>
      <c r="L71" s="37"/>
      <c r="M71" s="37"/>
      <c r="N71" s="37">
        <v>2.0</v>
      </c>
      <c r="O71" s="37"/>
      <c r="P71" s="37"/>
      <c r="Q71" s="37"/>
      <c r="R71" s="38">
        <f>IF(E71="",0,E71*'💰 Prix matériaux'!$B$3)+IF(F71="",0,F71*'💰 Prix matériaux'!$B$4)+IF(G71="",0,G71*'💰 Prix matériaux'!$B$5)+IF(H71="",0,H71*'💰 Prix matériaux'!$B$6)+IF(I71="",0,I71*'💰 Prix matériaux'!$B$7)+IF(J71="",0,J71*'💰 Prix matériaux'!$B$8)+IF(K71="",0,K71*'💰 Prix matériaux'!$B$9)+IF(L71="",0,L71*'💰 Prix matériaux'!$B$10)+IF(M71="",0,M71*'💰 Prix matériaux'!$B$11)+IF(N71="",0,N71*'💰 Prix matériaux'!$B$12)+IF(O71="",0,O71*'💰 Prix matériaux'!$B$13)+IF(P71="",0,P71*'💰 Prix matériaux'!$B$15)+IF(Q71="",0,Q71*'💰 Prix matériaux'!$B$16)</f>
        <v>10</v>
      </c>
      <c r="S71" s="39">
        <f t="shared" si="11"/>
        <v>20</v>
      </c>
    </row>
    <row r="72" ht="15.75" customHeight="1">
      <c r="A72" s="65" t="s">
        <v>4</v>
      </c>
      <c r="B72" s="66" t="s">
        <v>88</v>
      </c>
      <c r="C72" s="42" t="s">
        <v>81</v>
      </c>
      <c r="D72" s="37">
        <v>10.0</v>
      </c>
      <c r="E72" s="37">
        <v>4.0</v>
      </c>
      <c r="F72" s="37"/>
      <c r="G72" s="37"/>
      <c r="H72" s="37"/>
      <c r="I72" s="37"/>
      <c r="J72" s="37"/>
      <c r="K72" s="37"/>
      <c r="L72" s="37"/>
      <c r="M72" s="37"/>
      <c r="N72" s="37">
        <v>1.0</v>
      </c>
      <c r="O72" s="37"/>
      <c r="P72" s="37"/>
      <c r="Q72" s="37"/>
      <c r="R72" s="38">
        <f>IF(E72="",0,E72*'💰 Prix matériaux'!$B$3)+IF(F72="",0,F72*'💰 Prix matériaux'!$B$4)+IF(G72="",0,G72*'💰 Prix matériaux'!$B$5)+IF(H72="",0,H72*'💰 Prix matériaux'!$B$6)+IF(I72="",0,I72*'💰 Prix matériaux'!$B$7)+IF(J72="",0,J72*'💰 Prix matériaux'!$B$8)+IF(K72="",0,K72*'💰 Prix matériaux'!$B$9)+IF(L72="",0,L72*'💰 Prix matériaux'!$B$10)+IF(M72="",0,M72*'💰 Prix matériaux'!$B$11)+IF(N72="",0,N72*'💰 Prix matériaux'!$B$12)+IF(O72="",0,O72*'💰 Prix matériaux'!$B$13)+IF(P72="",0,P72*'💰 Prix matériaux'!$B$15)+IF(Q72="",0,Q72*'💰 Prix matériaux'!$B$16)</f>
        <v>17</v>
      </c>
      <c r="S72" s="39">
        <f t="shared" si="11"/>
        <v>27</v>
      </c>
    </row>
    <row r="73" ht="18.0" customHeight="1">
      <c r="A73" s="33" t="s">
        <v>118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1"/>
    </row>
    <row r="74" ht="15.75" customHeight="1">
      <c r="A74" s="67" t="s">
        <v>119</v>
      </c>
      <c r="B74" s="68" t="s">
        <v>84</v>
      </c>
      <c r="C74" s="42" t="s">
        <v>81</v>
      </c>
      <c r="D74" s="37">
        <v>10.0</v>
      </c>
      <c r="E74" s="37">
        <v>5.0</v>
      </c>
      <c r="F74" s="37"/>
      <c r="G74" s="37"/>
      <c r="H74" s="37"/>
      <c r="I74" s="37"/>
      <c r="J74" s="37"/>
      <c r="K74" s="37"/>
      <c r="L74" s="37"/>
      <c r="M74" s="37"/>
      <c r="N74" s="37">
        <v>3.0</v>
      </c>
      <c r="O74" s="37"/>
      <c r="P74" s="37"/>
      <c r="Q74" s="37"/>
      <c r="R74" s="38">
        <f>IF(E74="",0,E74*'💰 Prix matériaux'!$B$3)+IF(F74="",0,F74*'💰 Prix matériaux'!$B$4)+IF(G74="",0,G74*'💰 Prix matériaux'!$B$5)+IF(H74="",0,H74*'💰 Prix matériaux'!$B$6)+IF(I74="",0,I74*'💰 Prix matériaux'!$B$7)+IF(J74="",0,J74*'💰 Prix matériaux'!$B$8)+IF(K74="",0,K74*'💰 Prix matériaux'!$B$9)+IF(L74="",0,L74*'💰 Prix matériaux'!$B$10)+IF(M74="",0,M74*'💰 Prix matériaux'!$B$11)+IF(N74="",0,N74*'💰 Prix matériaux'!$B$12)+IF(O74="",0,O74*'💰 Prix matériaux'!$B$13)+IF(P74="",0,P74*'💰 Prix matériaux'!$B$15)+IF(Q74="",0,Q74*'💰 Prix matériaux'!$B$16)</f>
        <v>23</v>
      </c>
      <c r="S74" s="39">
        <f t="shared" ref="S74:S77" si="12">D74+R74</f>
        <v>33</v>
      </c>
    </row>
    <row r="75" ht="15.75" customHeight="1">
      <c r="A75" s="67" t="s">
        <v>119</v>
      </c>
      <c r="B75" s="68" t="s">
        <v>85</v>
      </c>
      <c r="C75" s="42" t="s">
        <v>81</v>
      </c>
      <c r="D75" s="37">
        <v>10.0</v>
      </c>
      <c r="E75" s="37">
        <v>3.0</v>
      </c>
      <c r="F75" s="37"/>
      <c r="G75" s="37"/>
      <c r="H75" s="37"/>
      <c r="I75" s="37"/>
      <c r="J75" s="37"/>
      <c r="K75" s="37"/>
      <c r="L75" s="37"/>
      <c r="M75" s="37"/>
      <c r="N75" s="37">
        <v>2.0</v>
      </c>
      <c r="O75" s="37"/>
      <c r="P75" s="37"/>
      <c r="Q75" s="37"/>
      <c r="R75" s="38">
        <f>IF(E75="",0,E75*'💰 Prix matériaux'!$B$3)+IF(F75="",0,F75*'💰 Prix matériaux'!$B$4)+IF(G75="",0,G75*'💰 Prix matériaux'!$B$5)+IF(H75="",0,H75*'💰 Prix matériaux'!$B$6)+IF(I75="",0,I75*'💰 Prix matériaux'!$B$7)+IF(J75="",0,J75*'💰 Prix matériaux'!$B$8)+IF(K75="",0,K75*'💰 Prix matériaux'!$B$9)+IF(L75="",0,L75*'💰 Prix matériaux'!$B$10)+IF(M75="",0,M75*'💰 Prix matériaux'!$B$11)+IF(N75="",0,N75*'💰 Prix matériaux'!$B$12)+IF(O75="",0,O75*'💰 Prix matériaux'!$B$13)+IF(P75="",0,P75*'💰 Prix matériaux'!$B$15)+IF(Q75="",0,Q75*'💰 Prix matériaux'!$B$16)</f>
        <v>14</v>
      </c>
      <c r="S75" s="39">
        <f t="shared" si="12"/>
        <v>24</v>
      </c>
    </row>
    <row r="76" ht="15.75" customHeight="1">
      <c r="A76" s="67" t="s">
        <v>119</v>
      </c>
      <c r="B76" s="68" t="s">
        <v>87</v>
      </c>
      <c r="C76" s="42" t="s">
        <v>81</v>
      </c>
      <c r="D76" s="37">
        <v>10.0</v>
      </c>
      <c r="E76" s="37">
        <v>2.0</v>
      </c>
      <c r="F76" s="37"/>
      <c r="G76" s="37"/>
      <c r="H76" s="37"/>
      <c r="I76" s="37"/>
      <c r="J76" s="37"/>
      <c r="K76" s="37"/>
      <c r="L76" s="37"/>
      <c r="M76" s="37"/>
      <c r="N76" s="37">
        <v>2.0</v>
      </c>
      <c r="O76" s="37"/>
      <c r="P76" s="37"/>
      <c r="Q76" s="37"/>
      <c r="R76" s="38">
        <f>IF(E76="",0,E76*'💰 Prix matériaux'!$B$3)+IF(F76="",0,F76*'💰 Prix matériaux'!$B$4)+IF(G76="",0,G76*'💰 Prix matériaux'!$B$5)+IF(H76="",0,H76*'💰 Prix matériaux'!$B$6)+IF(I76="",0,I76*'💰 Prix matériaux'!$B$7)+IF(J76="",0,J76*'💰 Prix matériaux'!$B$8)+IF(K76="",0,K76*'💰 Prix matériaux'!$B$9)+IF(L76="",0,L76*'💰 Prix matériaux'!$B$10)+IF(M76="",0,M76*'💰 Prix matériaux'!$B$11)+IF(N76="",0,N76*'💰 Prix matériaux'!$B$12)+IF(O76="",0,O76*'💰 Prix matériaux'!$B$13)+IF(P76="",0,P76*'💰 Prix matériaux'!$B$15)+IF(Q76="",0,Q76*'💰 Prix matériaux'!$B$16)</f>
        <v>10</v>
      </c>
      <c r="S76" s="39">
        <f t="shared" si="12"/>
        <v>20</v>
      </c>
    </row>
    <row r="77" ht="15.75" customHeight="1">
      <c r="A77" s="67" t="s">
        <v>119</v>
      </c>
      <c r="B77" s="68" t="s">
        <v>88</v>
      </c>
      <c r="C77" s="42" t="s">
        <v>81</v>
      </c>
      <c r="D77" s="37">
        <v>10.0</v>
      </c>
      <c r="E77" s="37">
        <v>4.0</v>
      </c>
      <c r="F77" s="37"/>
      <c r="G77" s="37"/>
      <c r="H77" s="37"/>
      <c r="I77" s="37"/>
      <c r="J77" s="37"/>
      <c r="K77" s="37"/>
      <c r="L77" s="37"/>
      <c r="M77" s="37"/>
      <c r="N77" s="37">
        <v>1.0</v>
      </c>
      <c r="O77" s="37"/>
      <c r="P77" s="37"/>
      <c r="Q77" s="37"/>
      <c r="R77" s="38">
        <f>IF(E77="",0,E77*'💰 Prix matériaux'!$B$3)+IF(F77="",0,F77*'💰 Prix matériaux'!$B$4)+IF(G77="",0,G77*'💰 Prix matériaux'!$B$5)+IF(H77="",0,H77*'💰 Prix matériaux'!$B$6)+IF(I77="",0,I77*'💰 Prix matériaux'!$B$7)+IF(J77="",0,J77*'💰 Prix matériaux'!$B$8)+IF(K77="",0,K77*'💰 Prix matériaux'!$B$9)+IF(L77="",0,L77*'💰 Prix matériaux'!$B$10)+IF(M77="",0,M77*'💰 Prix matériaux'!$B$11)+IF(N77="",0,N77*'💰 Prix matériaux'!$B$12)+IF(O77="",0,O77*'💰 Prix matériaux'!$B$13)+IF(P77="",0,P77*'💰 Prix matériaux'!$B$15)+IF(Q77="",0,Q77*'💰 Prix matériaux'!$B$16)</f>
        <v>17</v>
      </c>
      <c r="S77" s="39">
        <f t="shared" si="12"/>
        <v>27</v>
      </c>
    </row>
    <row r="78" ht="18.0" customHeight="1">
      <c r="A78" s="33" t="s">
        <v>120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1"/>
    </row>
    <row r="79" ht="15.75" customHeight="1">
      <c r="A79" s="69" t="s">
        <v>121</v>
      </c>
      <c r="B79" s="70" t="s">
        <v>84</v>
      </c>
      <c r="C79" s="42" t="s">
        <v>81</v>
      </c>
      <c r="D79" s="37">
        <v>10.0</v>
      </c>
      <c r="E79" s="37">
        <v>5.0</v>
      </c>
      <c r="F79" s="37"/>
      <c r="G79" s="37"/>
      <c r="H79" s="37"/>
      <c r="I79" s="37"/>
      <c r="J79" s="37"/>
      <c r="K79" s="37"/>
      <c r="L79" s="37"/>
      <c r="M79" s="37"/>
      <c r="N79" s="37">
        <v>3.0</v>
      </c>
      <c r="O79" s="37"/>
      <c r="P79" s="37"/>
      <c r="Q79" s="37"/>
      <c r="R79" s="38">
        <f>IF(E79="",0,E79*'💰 Prix matériaux'!$B$3)+IF(F79="",0,F79*'💰 Prix matériaux'!$B$4)+IF(G79="",0,G79*'💰 Prix matériaux'!$B$5)+IF(H79="",0,H79*'💰 Prix matériaux'!$B$6)+IF(I79="",0,I79*'💰 Prix matériaux'!$B$7)+IF(J79="",0,J79*'💰 Prix matériaux'!$B$8)+IF(K79="",0,K79*'💰 Prix matériaux'!$B$9)+IF(L79="",0,L79*'💰 Prix matériaux'!$B$10)+IF(M79="",0,M79*'💰 Prix matériaux'!$B$11)+IF(N79="",0,N79*'💰 Prix matériaux'!$B$12)+IF(O79="",0,O79*'💰 Prix matériaux'!$B$13)+IF(P79="",0,P79*'💰 Prix matériaux'!$B$15)+IF(Q79="",0,Q79*'💰 Prix matériaux'!$B$16)</f>
        <v>23</v>
      </c>
      <c r="S79" s="39">
        <f t="shared" ref="S79:S81" si="13">D79+R79</f>
        <v>33</v>
      </c>
    </row>
    <row r="80" ht="15.75" customHeight="1">
      <c r="A80" s="69" t="s">
        <v>121</v>
      </c>
      <c r="B80" s="70" t="s">
        <v>85</v>
      </c>
      <c r="C80" s="42" t="s">
        <v>81</v>
      </c>
      <c r="D80" s="37">
        <v>10.0</v>
      </c>
      <c r="E80" s="37">
        <v>3.0</v>
      </c>
      <c r="F80" s="37"/>
      <c r="G80" s="37"/>
      <c r="H80" s="37"/>
      <c r="I80" s="37"/>
      <c r="J80" s="37"/>
      <c r="K80" s="37"/>
      <c r="L80" s="37"/>
      <c r="M80" s="37"/>
      <c r="N80" s="37">
        <v>2.0</v>
      </c>
      <c r="O80" s="37"/>
      <c r="P80" s="37"/>
      <c r="Q80" s="37"/>
      <c r="R80" s="38">
        <f>IF(E80="",0,E80*'💰 Prix matériaux'!$B$3)+IF(F80="",0,F80*'💰 Prix matériaux'!$B$4)+IF(G80="",0,G80*'💰 Prix matériaux'!$B$5)+IF(H80="",0,H80*'💰 Prix matériaux'!$B$6)+IF(I80="",0,I80*'💰 Prix matériaux'!$B$7)+IF(J80="",0,J80*'💰 Prix matériaux'!$B$8)+IF(K80="",0,K80*'💰 Prix matériaux'!$B$9)+IF(L80="",0,L80*'💰 Prix matériaux'!$B$10)+IF(M80="",0,M80*'💰 Prix matériaux'!$B$11)+IF(N80="",0,N80*'💰 Prix matériaux'!$B$12)+IF(O80="",0,O80*'💰 Prix matériaux'!$B$13)+IF(P80="",0,P80*'💰 Prix matériaux'!$B$15)+IF(Q80="",0,Q80*'💰 Prix matériaux'!$B$16)</f>
        <v>14</v>
      </c>
      <c r="S80" s="39">
        <f t="shared" si="13"/>
        <v>24</v>
      </c>
    </row>
    <row r="81" ht="15.75" customHeight="1">
      <c r="A81" s="69" t="s">
        <v>121</v>
      </c>
      <c r="B81" s="70" t="s">
        <v>86</v>
      </c>
      <c r="C81" s="42" t="s">
        <v>81</v>
      </c>
      <c r="D81" s="37">
        <v>10.0</v>
      </c>
      <c r="E81" s="37">
        <v>3.0</v>
      </c>
      <c r="F81" s="37"/>
      <c r="G81" s="37"/>
      <c r="H81" s="37"/>
      <c r="I81" s="37"/>
      <c r="J81" s="37"/>
      <c r="K81" s="37"/>
      <c r="L81" s="37"/>
      <c r="M81" s="37"/>
      <c r="N81" s="37">
        <v>2.0</v>
      </c>
      <c r="O81" s="37"/>
      <c r="P81" s="37"/>
      <c r="Q81" s="37"/>
      <c r="R81" s="38">
        <f>IF(E81="",0,E81*'💰 Prix matériaux'!$B$3)+IF(F81="",0,F81*'💰 Prix matériaux'!$B$4)+IF(G81="",0,G81*'💰 Prix matériaux'!$B$5)+IF(H81="",0,H81*'💰 Prix matériaux'!$B$6)+IF(I81="",0,I81*'💰 Prix matériaux'!$B$7)+IF(J81="",0,J81*'💰 Prix matériaux'!$B$8)+IF(K81="",0,K81*'💰 Prix matériaux'!$B$9)+IF(L81="",0,L81*'💰 Prix matériaux'!$B$10)+IF(M81="",0,M81*'💰 Prix matériaux'!$B$11)+IF(N81="",0,N81*'💰 Prix matériaux'!$B$12)+IF(O81="",0,O81*'💰 Prix matériaux'!$B$13)+IF(P81="",0,P81*'💰 Prix matériaux'!$B$15)+IF(Q81="",0,Q81*'💰 Prix matériaux'!$B$16)</f>
        <v>14</v>
      </c>
      <c r="S81" s="39">
        <f t="shared" si="13"/>
        <v>24</v>
      </c>
    </row>
    <row r="82" ht="18.0" customHeight="1">
      <c r="A82" s="33" t="s">
        <v>122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1"/>
    </row>
    <row r="83" ht="15.75" customHeight="1">
      <c r="A83" s="71" t="s">
        <v>123</v>
      </c>
      <c r="B83" s="72" t="s">
        <v>84</v>
      </c>
      <c r="C83" s="42" t="s">
        <v>81</v>
      </c>
      <c r="D83" s="37">
        <v>10.0</v>
      </c>
      <c r="E83" s="37">
        <v>5.0</v>
      </c>
      <c r="F83" s="37"/>
      <c r="G83" s="37"/>
      <c r="H83" s="37"/>
      <c r="I83" s="37"/>
      <c r="J83" s="37">
        <v>1.0</v>
      </c>
      <c r="K83" s="37"/>
      <c r="L83" s="37"/>
      <c r="M83" s="37"/>
      <c r="N83" s="37">
        <v>3.0</v>
      </c>
      <c r="O83" s="37"/>
      <c r="P83" s="37"/>
      <c r="Q83" s="37"/>
      <c r="R83" s="38">
        <f>IF(E83="",0,E83*'💰 Prix matériaux'!$B$3)+IF(F83="",0,F83*'💰 Prix matériaux'!$B$4)+IF(G83="",0,G83*'💰 Prix matériaux'!$B$5)+IF(H83="",0,H83*'💰 Prix matériaux'!$B$6)+IF(I83="",0,I83*'💰 Prix matériaux'!$B$7)+IF(J83="",0,J83*'💰 Prix matériaux'!$B$8)+IF(K83="",0,K83*'💰 Prix matériaux'!$B$9)+IF(L83="",0,L83*'💰 Prix matériaux'!$B$10)+IF(M83="",0,M83*'💰 Prix matériaux'!$B$11)+IF(N83="",0,N83*'💰 Prix matériaux'!$B$12)+IF(O83="",0,O83*'💰 Prix matériaux'!$B$13)+IF(P83="",0,P83*'💰 Prix matériaux'!$B$15)+IF(Q83="",0,Q83*'💰 Prix matériaux'!$B$16)</f>
        <v>47</v>
      </c>
      <c r="S83" s="39">
        <f t="shared" ref="S83:S84" si="14">D83+R83</f>
        <v>57</v>
      </c>
    </row>
    <row r="84" ht="15.75" customHeight="1">
      <c r="A84" s="71" t="s">
        <v>123</v>
      </c>
      <c r="B84" s="72" t="s">
        <v>88</v>
      </c>
      <c r="C84" s="42" t="s">
        <v>81</v>
      </c>
      <c r="D84" s="37">
        <v>10.0</v>
      </c>
      <c r="E84" s="37">
        <v>4.0</v>
      </c>
      <c r="F84" s="37"/>
      <c r="G84" s="37"/>
      <c r="H84" s="37"/>
      <c r="I84" s="37"/>
      <c r="J84" s="37">
        <v>1.0</v>
      </c>
      <c r="K84" s="37"/>
      <c r="L84" s="37"/>
      <c r="M84" s="37"/>
      <c r="N84" s="37">
        <v>1.0</v>
      </c>
      <c r="O84" s="37"/>
      <c r="P84" s="37"/>
      <c r="Q84" s="37"/>
      <c r="R84" s="38">
        <f>IF(E84="",0,E84*'💰 Prix matériaux'!$B$3)+IF(F84="",0,F84*'💰 Prix matériaux'!$B$4)+IF(G84="",0,G84*'💰 Prix matériaux'!$B$5)+IF(H84="",0,H84*'💰 Prix matériaux'!$B$6)+IF(I84="",0,I84*'💰 Prix matériaux'!$B$7)+IF(J84="",0,J84*'💰 Prix matériaux'!$B$8)+IF(K84="",0,K84*'💰 Prix matériaux'!$B$9)+IF(L84="",0,L84*'💰 Prix matériaux'!$B$10)+IF(M84="",0,M84*'💰 Prix matériaux'!$B$11)+IF(N84="",0,N84*'💰 Prix matériaux'!$B$12)+IF(O84="",0,O84*'💰 Prix matériaux'!$B$13)+IF(P84="",0,P84*'💰 Prix matériaux'!$B$15)+IF(Q84="",0,Q84*'💰 Prix matériaux'!$B$16)</f>
        <v>41</v>
      </c>
      <c r="S84" s="39">
        <f t="shared" si="14"/>
        <v>51</v>
      </c>
    </row>
    <row r="85" ht="18.0" customHeight="1">
      <c r="A85" s="33" t="s">
        <v>124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1"/>
    </row>
    <row r="86" ht="15.75" customHeight="1">
      <c r="A86" s="73" t="s">
        <v>125</v>
      </c>
      <c r="B86" s="74" t="s">
        <v>84</v>
      </c>
      <c r="C86" s="42" t="s">
        <v>81</v>
      </c>
      <c r="D86" s="37">
        <v>10.0</v>
      </c>
      <c r="E86" s="37">
        <v>5.0</v>
      </c>
      <c r="F86" s="37"/>
      <c r="G86" s="37"/>
      <c r="H86" s="37"/>
      <c r="I86" s="37"/>
      <c r="J86" s="37">
        <v>1.0</v>
      </c>
      <c r="K86" s="37"/>
      <c r="L86" s="37"/>
      <c r="M86" s="37"/>
      <c r="N86" s="37">
        <v>3.0</v>
      </c>
      <c r="O86" s="37"/>
      <c r="P86" s="37"/>
      <c r="Q86" s="37"/>
      <c r="R86" s="38">
        <f>IF(E86="",0,E86*'💰 Prix matériaux'!$B$3)+IF(F86="",0,F86*'💰 Prix matériaux'!$B$4)+IF(G86="",0,G86*'💰 Prix matériaux'!$B$5)+IF(H86="",0,H86*'💰 Prix matériaux'!$B$6)+IF(I86="",0,I86*'💰 Prix matériaux'!$B$7)+IF(J86="",0,J86*'💰 Prix matériaux'!$B$8)+IF(K86="",0,K86*'💰 Prix matériaux'!$B$9)+IF(L86="",0,L86*'💰 Prix matériaux'!$B$10)+IF(M86="",0,M86*'💰 Prix matériaux'!$B$11)+IF(N86="",0,N86*'💰 Prix matériaux'!$B$12)+IF(O86="",0,O86*'💰 Prix matériaux'!$B$13)+IF(P86="",0,P86*'💰 Prix matériaux'!$B$15)+IF(Q86="",0,Q86*'💰 Prix matériaux'!$B$16)</f>
        <v>47</v>
      </c>
      <c r="S86" s="39">
        <f t="shared" ref="S86:S87" si="15">D86+R86</f>
        <v>57</v>
      </c>
    </row>
    <row r="87" ht="15.75" customHeight="1">
      <c r="A87" s="73" t="s">
        <v>125</v>
      </c>
      <c r="B87" s="74" t="s">
        <v>88</v>
      </c>
      <c r="C87" s="42" t="s">
        <v>81</v>
      </c>
      <c r="D87" s="37">
        <v>10.0</v>
      </c>
      <c r="E87" s="37">
        <v>4.0</v>
      </c>
      <c r="F87" s="37"/>
      <c r="G87" s="37"/>
      <c r="H87" s="37"/>
      <c r="I87" s="37"/>
      <c r="J87" s="37">
        <v>1.0</v>
      </c>
      <c r="K87" s="37"/>
      <c r="L87" s="37"/>
      <c r="M87" s="37"/>
      <c r="N87" s="37">
        <v>1.0</v>
      </c>
      <c r="O87" s="37"/>
      <c r="P87" s="37"/>
      <c r="Q87" s="37"/>
      <c r="R87" s="38">
        <f>IF(E87="",0,E87*'💰 Prix matériaux'!$B$3)+IF(F87="",0,F87*'💰 Prix matériaux'!$B$4)+IF(G87="",0,G87*'💰 Prix matériaux'!$B$5)+IF(H87="",0,H87*'💰 Prix matériaux'!$B$6)+IF(I87="",0,I87*'💰 Prix matériaux'!$B$7)+IF(J87="",0,J87*'💰 Prix matériaux'!$B$8)+IF(K87="",0,K87*'💰 Prix matériaux'!$B$9)+IF(L87="",0,L87*'💰 Prix matériaux'!$B$10)+IF(M87="",0,M87*'💰 Prix matériaux'!$B$11)+IF(N87="",0,N87*'💰 Prix matériaux'!$B$12)+IF(O87="",0,O87*'💰 Prix matériaux'!$B$13)+IF(P87="",0,P87*'💰 Prix matériaux'!$B$15)+IF(Q87="",0,Q87*'💰 Prix matériaux'!$B$16)</f>
        <v>41</v>
      </c>
      <c r="S87" s="39">
        <f t="shared" si="15"/>
        <v>51</v>
      </c>
    </row>
    <row r="88" ht="18.0" customHeight="1">
      <c r="A88" s="33" t="s">
        <v>126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1"/>
    </row>
    <row r="89" ht="15.75" customHeight="1">
      <c r="A89" s="75" t="s">
        <v>127</v>
      </c>
      <c r="B89" s="76" t="s">
        <v>84</v>
      </c>
      <c r="C89" s="42" t="s">
        <v>81</v>
      </c>
      <c r="D89" s="37">
        <v>10.0</v>
      </c>
      <c r="E89" s="37">
        <v>5.0</v>
      </c>
      <c r="F89" s="37"/>
      <c r="G89" s="37"/>
      <c r="H89" s="37"/>
      <c r="I89" s="37"/>
      <c r="J89" s="37">
        <v>1.0</v>
      </c>
      <c r="K89" s="37"/>
      <c r="L89" s="37"/>
      <c r="M89" s="37"/>
      <c r="N89" s="37">
        <v>3.0</v>
      </c>
      <c r="O89" s="37"/>
      <c r="P89" s="37"/>
      <c r="Q89" s="37"/>
      <c r="R89" s="38">
        <f>IF(E89="",0,E89*'💰 Prix matériaux'!$B$3)+IF(F89="",0,F89*'💰 Prix matériaux'!$B$4)+IF(G89="",0,G89*'💰 Prix matériaux'!$B$5)+IF(H89="",0,H89*'💰 Prix matériaux'!$B$6)+IF(I89="",0,I89*'💰 Prix matériaux'!$B$7)+IF(J89="",0,J89*'💰 Prix matériaux'!$B$8)+IF(K89="",0,K89*'💰 Prix matériaux'!$B$9)+IF(L89="",0,L89*'💰 Prix matériaux'!$B$10)+IF(M89="",0,M89*'💰 Prix matériaux'!$B$11)+IF(N89="",0,N89*'💰 Prix matériaux'!$B$12)+IF(O89="",0,O89*'💰 Prix matériaux'!$B$13)+IF(P89="",0,P89*'💰 Prix matériaux'!$B$15)+IF(Q89="",0,Q89*'💰 Prix matériaux'!$B$16)</f>
        <v>47</v>
      </c>
      <c r="S89" s="39">
        <f t="shared" ref="S89:S90" si="16">D89+R89</f>
        <v>57</v>
      </c>
    </row>
    <row r="90" ht="15.75" customHeight="1">
      <c r="A90" s="75" t="s">
        <v>127</v>
      </c>
      <c r="B90" s="76" t="s">
        <v>88</v>
      </c>
      <c r="C90" s="42" t="s">
        <v>81</v>
      </c>
      <c r="D90" s="37">
        <v>10.0</v>
      </c>
      <c r="E90" s="37">
        <v>4.0</v>
      </c>
      <c r="F90" s="37"/>
      <c r="G90" s="37"/>
      <c r="H90" s="37"/>
      <c r="I90" s="37"/>
      <c r="J90" s="37">
        <v>1.0</v>
      </c>
      <c r="K90" s="37"/>
      <c r="L90" s="37"/>
      <c r="M90" s="37"/>
      <c r="N90" s="37">
        <v>1.0</v>
      </c>
      <c r="O90" s="37"/>
      <c r="P90" s="37"/>
      <c r="Q90" s="37"/>
      <c r="R90" s="38">
        <f>IF(E90="",0,E90*'💰 Prix matériaux'!$B$3)+IF(F90="",0,F90*'💰 Prix matériaux'!$B$4)+IF(G90="",0,G90*'💰 Prix matériaux'!$B$5)+IF(H90="",0,H90*'💰 Prix matériaux'!$B$6)+IF(I90="",0,I90*'💰 Prix matériaux'!$B$7)+IF(J90="",0,J90*'💰 Prix matériaux'!$B$8)+IF(K90="",0,K90*'💰 Prix matériaux'!$B$9)+IF(L90="",0,L90*'💰 Prix matériaux'!$B$10)+IF(M90="",0,M90*'💰 Prix matériaux'!$B$11)+IF(N90="",0,N90*'💰 Prix matériaux'!$B$12)+IF(O90="",0,O90*'💰 Prix matériaux'!$B$13)+IF(P90="",0,P90*'💰 Prix matériaux'!$B$15)+IF(Q90="",0,Q90*'💰 Prix matériaux'!$B$16)</f>
        <v>41</v>
      </c>
      <c r="S90" s="39">
        <f t="shared" si="16"/>
        <v>51</v>
      </c>
    </row>
    <row r="91" ht="18.0" customHeight="1">
      <c r="A91" s="33" t="s">
        <v>128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1"/>
    </row>
    <row r="92" ht="15.75" customHeight="1">
      <c r="A92" s="77" t="s">
        <v>129</v>
      </c>
      <c r="B92" s="78" t="s">
        <v>84</v>
      </c>
      <c r="C92" s="42" t="s">
        <v>81</v>
      </c>
      <c r="D92" s="37">
        <v>10.0</v>
      </c>
      <c r="E92" s="37">
        <v>5.0</v>
      </c>
      <c r="F92" s="37"/>
      <c r="G92" s="37"/>
      <c r="H92" s="37"/>
      <c r="I92" s="37"/>
      <c r="J92" s="37">
        <v>1.0</v>
      </c>
      <c r="K92" s="37"/>
      <c r="L92" s="37"/>
      <c r="M92" s="37"/>
      <c r="N92" s="37">
        <v>3.0</v>
      </c>
      <c r="O92" s="37"/>
      <c r="P92" s="37"/>
      <c r="Q92" s="37"/>
      <c r="R92" s="38">
        <f>IF(E92="",0,E92*'💰 Prix matériaux'!$B$3)+IF(F92="",0,F92*'💰 Prix matériaux'!$B$4)+IF(G92="",0,G92*'💰 Prix matériaux'!$B$5)+IF(H92="",0,H92*'💰 Prix matériaux'!$B$6)+IF(I92="",0,I92*'💰 Prix matériaux'!$B$7)+IF(J92="",0,J92*'💰 Prix matériaux'!$B$8)+IF(K92="",0,K92*'💰 Prix matériaux'!$B$9)+IF(L92="",0,L92*'💰 Prix matériaux'!$B$10)+IF(M92="",0,M92*'💰 Prix matériaux'!$B$11)+IF(N92="",0,N92*'💰 Prix matériaux'!$B$12)+IF(O92="",0,O92*'💰 Prix matériaux'!$B$13)+IF(P92="",0,P92*'💰 Prix matériaux'!$B$15)+IF(Q92="",0,Q92*'💰 Prix matériaux'!$B$16)</f>
        <v>47</v>
      </c>
      <c r="S92" s="39">
        <f>D92+R92</f>
        <v>57</v>
      </c>
    </row>
    <row r="93" ht="18.0" customHeight="1">
      <c r="A93" s="33" t="s">
        <v>130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1"/>
    </row>
    <row r="94" ht="15.75" customHeight="1">
      <c r="A94" s="79" t="s">
        <v>131</v>
      </c>
      <c r="B94" s="80" t="s">
        <v>84</v>
      </c>
      <c r="C94" s="42" t="s">
        <v>81</v>
      </c>
      <c r="D94" s="37">
        <v>10.0</v>
      </c>
      <c r="E94" s="37">
        <v>5.0</v>
      </c>
      <c r="F94" s="37"/>
      <c r="G94" s="37"/>
      <c r="H94" s="37"/>
      <c r="I94" s="37"/>
      <c r="J94" s="37">
        <v>1.0</v>
      </c>
      <c r="K94" s="37"/>
      <c r="L94" s="37"/>
      <c r="M94" s="37"/>
      <c r="N94" s="37">
        <v>3.0</v>
      </c>
      <c r="O94" s="37"/>
      <c r="P94" s="37"/>
      <c r="Q94" s="37"/>
      <c r="R94" s="38">
        <f>IF(E94="",0,E94*'💰 Prix matériaux'!$B$3)+IF(F94="",0,F94*'💰 Prix matériaux'!$B$4)+IF(G94="",0,G94*'💰 Prix matériaux'!$B$5)+IF(H94="",0,H94*'💰 Prix matériaux'!$B$6)+IF(I94="",0,I94*'💰 Prix matériaux'!$B$7)+IF(J94="",0,J94*'💰 Prix matériaux'!$B$8)+IF(K94="",0,K94*'💰 Prix matériaux'!$B$9)+IF(L94="",0,L94*'💰 Prix matériaux'!$B$10)+IF(M94="",0,M94*'💰 Prix matériaux'!$B$11)+IF(N94="",0,N94*'💰 Prix matériaux'!$B$12)+IF(O94="",0,O94*'💰 Prix matériaux'!$B$13)+IF(P94="",0,P94*'💰 Prix matériaux'!$B$15)+IF(Q94="",0,Q94*'💰 Prix matériaux'!$B$16)</f>
        <v>47</v>
      </c>
      <c r="S94" s="39">
        <f>D94+R94</f>
        <v>57</v>
      </c>
    </row>
    <row r="95" ht="18.0" customHeight="1">
      <c r="A95" s="33" t="s">
        <v>120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1"/>
    </row>
    <row r="96" ht="15.75" customHeight="1">
      <c r="A96" s="69" t="s">
        <v>121</v>
      </c>
      <c r="B96" s="70" t="s">
        <v>88</v>
      </c>
      <c r="C96" s="42" t="s">
        <v>81</v>
      </c>
      <c r="D96" s="37">
        <v>10.0</v>
      </c>
      <c r="E96" s="37">
        <v>4.0</v>
      </c>
      <c r="F96" s="37"/>
      <c r="G96" s="37"/>
      <c r="H96" s="37"/>
      <c r="I96" s="37"/>
      <c r="J96" s="37"/>
      <c r="K96" s="37"/>
      <c r="L96" s="37"/>
      <c r="M96" s="37"/>
      <c r="N96" s="37">
        <v>2.0</v>
      </c>
      <c r="O96" s="37"/>
      <c r="P96" s="37"/>
      <c r="Q96" s="37"/>
      <c r="R96" s="38">
        <f>IF(E96="",0,E96*'💰 Prix matériaux'!$B$3)+IF(F96="",0,F96*'💰 Prix matériaux'!$B$4)+IF(G96="",0,G96*'💰 Prix matériaux'!$B$5)+IF(H96="",0,H96*'💰 Prix matériaux'!$B$6)+IF(I96="",0,I96*'💰 Prix matériaux'!$B$7)+IF(J96="",0,J96*'💰 Prix matériaux'!$B$8)+IF(K96="",0,K96*'💰 Prix matériaux'!$B$9)+IF(L96="",0,L96*'💰 Prix matériaux'!$B$10)+IF(M96="",0,M96*'💰 Prix matériaux'!$B$11)+IF(N96="",0,N96*'💰 Prix matériaux'!$B$12)+IF(O96="",0,O96*'💰 Prix matériaux'!$B$13)+IF(P96="",0,P96*'💰 Prix matériaux'!$B$15)+IF(Q96="",0,Q96*'💰 Prix matériaux'!$B$16)</f>
        <v>18</v>
      </c>
      <c r="S96" s="39">
        <f>D96+R96</f>
        <v>28</v>
      </c>
    </row>
    <row r="97" ht="18.0" customHeight="1">
      <c r="A97" s="33" t="s">
        <v>128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1"/>
    </row>
    <row r="98" ht="15.75" customHeight="1">
      <c r="A98" s="77" t="s">
        <v>129</v>
      </c>
      <c r="B98" s="78" t="s">
        <v>88</v>
      </c>
      <c r="C98" s="42" t="s">
        <v>81</v>
      </c>
      <c r="D98" s="37">
        <v>10.0</v>
      </c>
      <c r="E98" s="37">
        <v>4.0</v>
      </c>
      <c r="F98" s="37"/>
      <c r="G98" s="37"/>
      <c r="H98" s="37"/>
      <c r="I98" s="37"/>
      <c r="J98" s="37"/>
      <c r="K98" s="37"/>
      <c r="L98" s="37"/>
      <c r="M98" s="37"/>
      <c r="N98" s="37">
        <v>1.0</v>
      </c>
      <c r="O98" s="37"/>
      <c r="P98" s="37"/>
      <c r="Q98" s="37"/>
      <c r="R98" s="38">
        <f>IF(E98="",0,E98*'💰 Prix matériaux'!$B$3)+IF(F98="",0,F98*'💰 Prix matériaux'!$B$4)+IF(G98="",0,G98*'💰 Prix matériaux'!$B$5)+IF(H98="",0,H98*'💰 Prix matériaux'!$B$6)+IF(I98="",0,I98*'💰 Prix matériaux'!$B$7)+IF(J98="",0,J98*'💰 Prix matériaux'!$B$8)+IF(K98="",0,K98*'💰 Prix matériaux'!$B$9)+IF(L98="",0,L98*'💰 Prix matériaux'!$B$10)+IF(M98="",0,M98*'💰 Prix matériaux'!$B$11)+IF(N98="",0,N98*'💰 Prix matériaux'!$B$12)+IF(O98="",0,O98*'💰 Prix matériaux'!$B$13)+IF(P98="",0,P98*'💰 Prix matériaux'!$B$15)+IF(Q98="",0,Q98*'💰 Prix matériaux'!$B$16)</f>
        <v>17</v>
      </c>
      <c r="S98" s="39">
        <f>D98+R98</f>
        <v>27</v>
      </c>
    </row>
    <row r="99" ht="18.0" customHeight="1">
      <c r="A99" s="33" t="s">
        <v>132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1"/>
    </row>
    <row r="100" ht="15.75" customHeight="1">
      <c r="A100" s="81" t="s">
        <v>133</v>
      </c>
      <c r="B100" s="82" t="s">
        <v>84</v>
      </c>
      <c r="C100" s="42" t="s">
        <v>81</v>
      </c>
      <c r="D100" s="37">
        <v>10.0</v>
      </c>
      <c r="E100" s="37">
        <v>5.0</v>
      </c>
      <c r="F100" s="37"/>
      <c r="G100" s="37"/>
      <c r="H100" s="37"/>
      <c r="I100" s="37"/>
      <c r="J100" s="37"/>
      <c r="K100" s="37"/>
      <c r="L100" s="37"/>
      <c r="M100" s="37"/>
      <c r="N100" s="37">
        <v>3.0</v>
      </c>
      <c r="O100" s="37"/>
      <c r="P100" s="37"/>
      <c r="Q100" s="37"/>
      <c r="R100" s="38">
        <f>IF(E100="",0,E100*'💰 Prix matériaux'!$B$3)+IF(F100="",0,F100*'💰 Prix matériaux'!$B$4)+IF(G100="",0,G100*'💰 Prix matériaux'!$B$5)+IF(H100="",0,H100*'💰 Prix matériaux'!$B$6)+IF(I100="",0,I100*'💰 Prix matériaux'!$B$7)+IF(J100="",0,J100*'💰 Prix matériaux'!$B$8)+IF(K100="",0,K100*'💰 Prix matériaux'!$B$9)+IF(L100="",0,L100*'💰 Prix matériaux'!$B$10)+IF(M100="",0,M100*'💰 Prix matériaux'!$B$11)+IF(N100="",0,N100*'💰 Prix matériaux'!$B$12)+IF(O100="",0,O100*'💰 Prix matériaux'!$B$13)+IF(P100="",0,P100*'💰 Prix matériaux'!$B$15)+IF(Q100="",0,Q100*'💰 Prix matériaux'!$B$16)</f>
        <v>23</v>
      </c>
      <c r="S100" s="39">
        <f t="shared" ref="S100:S102" si="17">D100+R100</f>
        <v>33</v>
      </c>
    </row>
    <row r="101" ht="15.75" customHeight="1">
      <c r="A101" s="81" t="s">
        <v>133</v>
      </c>
      <c r="B101" s="82" t="s">
        <v>85</v>
      </c>
      <c r="C101" s="42" t="s">
        <v>81</v>
      </c>
      <c r="D101" s="37">
        <v>10.0</v>
      </c>
      <c r="E101" s="37">
        <v>3.0</v>
      </c>
      <c r="F101" s="37"/>
      <c r="G101" s="37"/>
      <c r="H101" s="37"/>
      <c r="I101" s="37"/>
      <c r="J101" s="37"/>
      <c r="K101" s="37"/>
      <c r="L101" s="37"/>
      <c r="M101" s="37"/>
      <c r="N101" s="37">
        <v>2.0</v>
      </c>
      <c r="O101" s="37"/>
      <c r="P101" s="37"/>
      <c r="Q101" s="37"/>
      <c r="R101" s="38">
        <f>IF(E101="",0,E101*'💰 Prix matériaux'!$B$3)+IF(F101="",0,F101*'💰 Prix matériaux'!$B$4)+IF(G101="",0,G101*'💰 Prix matériaux'!$B$5)+IF(H101="",0,H101*'💰 Prix matériaux'!$B$6)+IF(I101="",0,I101*'💰 Prix matériaux'!$B$7)+IF(J101="",0,J101*'💰 Prix matériaux'!$B$8)+IF(K101="",0,K101*'💰 Prix matériaux'!$B$9)+IF(L101="",0,L101*'💰 Prix matériaux'!$B$10)+IF(M101="",0,M101*'💰 Prix matériaux'!$B$11)+IF(N101="",0,N101*'💰 Prix matériaux'!$B$12)+IF(O101="",0,O101*'💰 Prix matériaux'!$B$13)+IF(P101="",0,P101*'💰 Prix matériaux'!$B$15)+IF(Q101="",0,Q101*'💰 Prix matériaux'!$B$16)</f>
        <v>14</v>
      </c>
      <c r="S101" s="39">
        <f t="shared" si="17"/>
        <v>24</v>
      </c>
    </row>
    <row r="102" ht="15.75" customHeight="1">
      <c r="A102" s="81" t="s">
        <v>133</v>
      </c>
      <c r="B102" s="82" t="s">
        <v>87</v>
      </c>
      <c r="C102" s="42" t="s">
        <v>81</v>
      </c>
      <c r="D102" s="37">
        <v>10.0</v>
      </c>
      <c r="E102" s="37">
        <v>2.0</v>
      </c>
      <c r="F102" s="37"/>
      <c r="G102" s="37"/>
      <c r="H102" s="37"/>
      <c r="I102" s="37"/>
      <c r="J102" s="37"/>
      <c r="K102" s="37"/>
      <c r="L102" s="37"/>
      <c r="M102" s="37"/>
      <c r="N102" s="37">
        <v>2.0</v>
      </c>
      <c r="O102" s="37"/>
      <c r="P102" s="37"/>
      <c r="Q102" s="37"/>
      <c r="R102" s="38">
        <f>IF(E102="",0,E102*'💰 Prix matériaux'!$B$3)+IF(F102="",0,F102*'💰 Prix matériaux'!$B$4)+IF(G102="",0,G102*'💰 Prix matériaux'!$B$5)+IF(H102="",0,H102*'💰 Prix matériaux'!$B$6)+IF(I102="",0,I102*'💰 Prix matériaux'!$B$7)+IF(J102="",0,J102*'💰 Prix matériaux'!$B$8)+IF(K102="",0,K102*'💰 Prix matériaux'!$B$9)+IF(L102="",0,L102*'💰 Prix matériaux'!$B$10)+IF(M102="",0,M102*'💰 Prix matériaux'!$B$11)+IF(N102="",0,N102*'💰 Prix matériaux'!$B$12)+IF(O102="",0,O102*'💰 Prix matériaux'!$B$13)+IF(P102="",0,P102*'💰 Prix matériaux'!$B$15)+IF(Q102="",0,Q102*'💰 Prix matériaux'!$B$16)</f>
        <v>10</v>
      </c>
      <c r="S102" s="39">
        <f t="shared" si="17"/>
        <v>20</v>
      </c>
    </row>
    <row r="103" ht="18.0" customHeight="1">
      <c r="A103" s="33" t="s">
        <v>134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1"/>
    </row>
    <row r="104" ht="15.75" customHeight="1">
      <c r="A104" s="83" t="s">
        <v>135</v>
      </c>
      <c r="B104" s="84" t="s">
        <v>84</v>
      </c>
      <c r="C104" s="42" t="s">
        <v>81</v>
      </c>
      <c r="D104" s="37">
        <v>10.0</v>
      </c>
      <c r="E104" s="37">
        <v>5.0</v>
      </c>
      <c r="F104" s="37"/>
      <c r="G104" s="37"/>
      <c r="H104" s="37"/>
      <c r="I104" s="37"/>
      <c r="J104" s="37"/>
      <c r="K104" s="37"/>
      <c r="L104" s="37"/>
      <c r="M104" s="37"/>
      <c r="N104" s="37">
        <v>3.0</v>
      </c>
      <c r="O104" s="37"/>
      <c r="P104" s="37"/>
      <c r="Q104" s="37"/>
      <c r="R104" s="38">
        <f>IF(E104="",0,E104*'💰 Prix matériaux'!$B$3)+IF(F104="",0,F104*'💰 Prix matériaux'!$B$4)+IF(G104="",0,G104*'💰 Prix matériaux'!$B$5)+IF(H104="",0,H104*'💰 Prix matériaux'!$B$6)+IF(I104="",0,I104*'💰 Prix matériaux'!$B$7)+IF(J104="",0,J104*'💰 Prix matériaux'!$B$8)+IF(K104="",0,K104*'💰 Prix matériaux'!$B$9)+IF(L104="",0,L104*'💰 Prix matériaux'!$B$10)+IF(M104="",0,M104*'💰 Prix matériaux'!$B$11)+IF(N104="",0,N104*'💰 Prix matériaux'!$B$12)+IF(O104="",0,O104*'💰 Prix matériaux'!$B$13)+IF(P104="",0,P104*'💰 Prix matériaux'!$B$15)+IF(Q104="",0,Q104*'💰 Prix matériaux'!$B$16)</f>
        <v>23</v>
      </c>
      <c r="S104" s="39">
        <f t="shared" ref="S104:S107" si="18">D104+R104</f>
        <v>33</v>
      </c>
    </row>
    <row r="105" ht="15.75" customHeight="1">
      <c r="A105" s="83" t="s">
        <v>135</v>
      </c>
      <c r="B105" s="84" t="s">
        <v>85</v>
      </c>
      <c r="C105" s="42" t="s">
        <v>81</v>
      </c>
      <c r="D105" s="37">
        <v>10.0</v>
      </c>
      <c r="E105" s="37">
        <v>3.0</v>
      </c>
      <c r="F105" s="37"/>
      <c r="G105" s="37"/>
      <c r="H105" s="37"/>
      <c r="I105" s="37"/>
      <c r="J105" s="37"/>
      <c r="K105" s="37"/>
      <c r="L105" s="37"/>
      <c r="M105" s="37"/>
      <c r="N105" s="37">
        <v>2.0</v>
      </c>
      <c r="O105" s="37"/>
      <c r="P105" s="37"/>
      <c r="Q105" s="37"/>
      <c r="R105" s="38">
        <f>IF(E105="",0,E105*'💰 Prix matériaux'!$B$3)+IF(F105="",0,F105*'💰 Prix matériaux'!$B$4)+IF(G105="",0,G105*'💰 Prix matériaux'!$B$5)+IF(H105="",0,H105*'💰 Prix matériaux'!$B$6)+IF(I105="",0,I105*'💰 Prix matériaux'!$B$7)+IF(J105="",0,J105*'💰 Prix matériaux'!$B$8)+IF(K105="",0,K105*'💰 Prix matériaux'!$B$9)+IF(L105="",0,L105*'💰 Prix matériaux'!$B$10)+IF(M105="",0,M105*'💰 Prix matériaux'!$B$11)+IF(N105="",0,N105*'💰 Prix matériaux'!$B$12)+IF(O105="",0,O105*'💰 Prix matériaux'!$B$13)+IF(P105="",0,P105*'💰 Prix matériaux'!$B$15)+IF(Q105="",0,Q105*'💰 Prix matériaux'!$B$16)</f>
        <v>14</v>
      </c>
      <c r="S105" s="39">
        <f t="shared" si="18"/>
        <v>24</v>
      </c>
    </row>
    <row r="106" ht="15.75" customHeight="1">
      <c r="A106" s="83" t="s">
        <v>135</v>
      </c>
      <c r="B106" s="84" t="s">
        <v>87</v>
      </c>
      <c r="C106" s="42" t="s">
        <v>81</v>
      </c>
      <c r="D106" s="37">
        <v>10.0</v>
      </c>
      <c r="E106" s="37">
        <v>2.0</v>
      </c>
      <c r="F106" s="37"/>
      <c r="G106" s="37"/>
      <c r="H106" s="37"/>
      <c r="I106" s="37"/>
      <c r="J106" s="37"/>
      <c r="K106" s="37"/>
      <c r="L106" s="37"/>
      <c r="M106" s="37"/>
      <c r="N106" s="37">
        <v>2.0</v>
      </c>
      <c r="O106" s="37"/>
      <c r="P106" s="37"/>
      <c r="Q106" s="37"/>
      <c r="R106" s="38">
        <f>IF(E106="",0,E106*'💰 Prix matériaux'!$B$3)+IF(F106="",0,F106*'💰 Prix matériaux'!$B$4)+IF(G106="",0,G106*'💰 Prix matériaux'!$B$5)+IF(H106="",0,H106*'💰 Prix matériaux'!$B$6)+IF(I106="",0,I106*'💰 Prix matériaux'!$B$7)+IF(J106="",0,J106*'💰 Prix matériaux'!$B$8)+IF(K106="",0,K106*'💰 Prix matériaux'!$B$9)+IF(L106="",0,L106*'💰 Prix matériaux'!$B$10)+IF(M106="",0,M106*'💰 Prix matériaux'!$B$11)+IF(N106="",0,N106*'💰 Prix matériaux'!$B$12)+IF(O106="",0,O106*'💰 Prix matériaux'!$B$13)+IF(P106="",0,P106*'💰 Prix matériaux'!$B$15)+IF(Q106="",0,Q106*'💰 Prix matériaux'!$B$16)</f>
        <v>10</v>
      </c>
      <c r="S106" s="39">
        <f t="shared" si="18"/>
        <v>20</v>
      </c>
    </row>
    <row r="107" ht="15.75" customHeight="1">
      <c r="A107" s="83" t="s">
        <v>135</v>
      </c>
      <c r="B107" s="84" t="s">
        <v>86</v>
      </c>
      <c r="C107" s="42" t="s">
        <v>81</v>
      </c>
      <c r="D107" s="37">
        <v>10.0</v>
      </c>
      <c r="E107" s="37">
        <v>3.0</v>
      </c>
      <c r="F107" s="37"/>
      <c r="G107" s="37"/>
      <c r="H107" s="37"/>
      <c r="I107" s="37"/>
      <c r="J107" s="37"/>
      <c r="K107" s="37"/>
      <c r="L107" s="37"/>
      <c r="M107" s="37"/>
      <c r="N107" s="37">
        <v>2.0</v>
      </c>
      <c r="O107" s="37"/>
      <c r="P107" s="37"/>
      <c r="Q107" s="37"/>
      <c r="R107" s="38">
        <f>IF(E107="",0,E107*'💰 Prix matériaux'!$B$3)+IF(F107="",0,F107*'💰 Prix matériaux'!$B$4)+IF(G107="",0,G107*'💰 Prix matériaux'!$B$5)+IF(H107="",0,H107*'💰 Prix matériaux'!$B$6)+IF(I107="",0,I107*'💰 Prix matériaux'!$B$7)+IF(J107="",0,J107*'💰 Prix matériaux'!$B$8)+IF(K107="",0,K107*'💰 Prix matériaux'!$B$9)+IF(L107="",0,L107*'💰 Prix matériaux'!$B$10)+IF(M107="",0,M107*'💰 Prix matériaux'!$B$11)+IF(N107="",0,N107*'💰 Prix matériaux'!$B$12)+IF(O107="",0,O107*'💰 Prix matériaux'!$B$13)+IF(P107="",0,P107*'💰 Prix matériaux'!$B$15)+IF(Q107="",0,Q107*'💰 Prix matériaux'!$B$16)</f>
        <v>14</v>
      </c>
      <c r="S107" s="39">
        <f t="shared" si="18"/>
        <v>24</v>
      </c>
    </row>
    <row r="108" ht="18.0" customHeight="1">
      <c r="A108" s="33" t="s">
        <v>29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1"/>
    </row>
    <row r="109" ht="15.75" customHeight="1">
      <c r="A109" s="85" t="s">
        <v>5</v>
      </c>
      <c r="B109" s="86" t="s">
        <v>136</v>
      </c>
      <c r="C109" s="42" t="s">
        <v>81</v>
      </c>
      <c r="D109" s="37">
        <v>10.0</v>
      </c>
      <c r="E109" s="37">
        <v>1.0</v>
      </c>
      <c r="F109" s="37">
        <v>4.0</v>
      </c>
      <c r="G109" s="37"/>
      <c r="H109" s="37"/>
      <c r="I109" s="37"/>
      <c r="J109" s="37"/>
      <c r="K109" s="37"/>
      <c r="L109" s="37"/>
      <c r="M109" s="37"/>
      <c r="N109" s="37">
        <v>3.0</v>
      </c>
      <c r="O109" s="37"/>
      <c r="P109" s="37"/>
      <c r="Q109" s="37"/>
      <c r="R109" s="38">
        <f>IF(E109="",0,E109*'💰 Prix matériaux'!$B$3)+IF(F109="",0,F109*'💰 Prix matériaux'!$B$4)+IF(G109="",0,G109*'💰 Prix matériaux'!$B$5)+IF(H109="",0,H109*'💰 Prix matériaux'!$B$6)+IF(I109="",0,I109*'💰 Prix matériaux'!$B$7)+IF(J109="",0,J109*'💰 Prix matériaux'!$B$8)+IF(K109="",0,K109*'💰 Prix matériaux'!$B$9)+IF(L109="",0,L109*'💰 Prix matériaux'!$B$10)+IF(M109="",0,M109*'💰 Prix matériaux'!$B$11)+IF(N109="",0,N109*'💰 Prix matériaux'!$B$12)+IF(O109="",0,O109*'💰 Prix matériaux'!$B$13)+IF(P109="",0,P109*'💰 Prix matériaux'!$B$15)+IF(Q109="",0,Q109*'💰 Prix matériaux'!$B$16)</f>
        <v>35</v>
      </c>
      <c r="S109" s="39">
        <f t="shared" ref="S109:S113" si="19">D109+R109</f>
        <v>45</v>
      </c>
    </row>
    <row r="110" ht="15.75" customHeight="1">
      <c r="A110" s="85" t="s">
        <v>5</v>
      </c>
      <c r="B110" s="86" t="s">
        <v>137</v>
      </c>
      <c r="C110" s="42" t="s">
        <v>81</v>
      </c>
      <c r="D110" s="37">
        <v>10.0</v>
      </c>
      <c r="E110" s="37">
        <v>1.0</v>
      </c>
      <c r="F110" s="37">
        <v>2.0</v>
      </c>
      <c r="G110" s="37"/>
      <c r="H110" s="37"/>
      <c r="I110" s="37"/>
      <c r="J110" s="37"/>
      <c r="K110" s="37"/>
      <c r="L110" s="37"/>
      <c r="M110" s="37"/>
      <c r="N110" s="37">
        <v>2.0</v>
      </c>
      <c r="O110" s="37"/>
      <c r="P110" s="37"/>
      <c r="Q110" s="37"/>
      <c r="R110" s="38">
        <f>IF(E110="",0,E110*'💰 Prix matériaux'!$B$3)+IF(F110="",0,F110*'💰 Prix matériaux'!$B$4)+IF(G110="",0,G110*'💰 Prix matériaux'!$B$5)+IF(H110="",0,H110*'💰 Prix matériaux'!$B$6)+IF(I110="",0,I110*'💰 Prix matériaux'!$B$7)+IF(J110="",0,J110*'💰 Prix matériaux'!$B$8)+IF(K110="",0,K110*'💰 Prix matériaux'!$B$9)+IF(L110="",0,L110*'💰 Prix matériaux'!$B$10)+IF(M110="",0,M110*'💰 Prix matériaux'!$B$11)+IF(N110="",0,N110*'💰 Prix matériaux'!$B$12)+IF(O110="",0,O110*'💰 Prix matériaux'!$B$13)+IF(P110="",0,P110*'💰 Prix matériaux'!$B$15)+IF(Q110="",0,Q110*'💰 Prix matériaux'!$B$16)</f>
        <v>20</v>
      </c>
      <c r="S110" s="39">
        <f t="shared" si="19"/>
        <v>30</v>
      </c>
    </row>
    <row r="111" ht="15.75" customHeight="1">
      <c r="A111" s="85" t="s">
        <v>5</v>
      </c>
      <c r="B111" s="86" t="s">
        <v>138</v>
      </c>
      <c r="C111" s="42" t="s">
        <v>81</v>
      </c>
      <c r="D111" s="37">
        <v>10.0</v>
      </c>
      <c r="E111" s="37">
        <v>1.0</v>
      </c>
      <c r="F111" s="37">
        <v>3.0</v>
      </c>
      <c r="G111" s="37"/>
      <c r="H111" s="37"/>
      <c r="I111" s="37"/>
      <c r="J111" s="37"/>
      <c r="K111" s="37"/>
      <c r="L111" s="37"/>
      <c r="M111" s="37"/>
      <c r="N111" s="37">
        <v>2.0</v>
      </c>
      <c r="O111" s="37"/>
      <c r="P111" s="37"/>
      <c r="Q111" s="37"/>
      <c r="R111" s="38">
        <f>IF(E111="",0,E111*'💰 Prix matériaux'!$B$3)+IF(F111="",0,F111*'💰 Prix matériaux'!$B$4)+IF(G111="",0,G111*'💰 Prix matériaux'!$B$5)+IF(H111="",0,H111*'💰 Prix matériaux'!$B$6)+IF(I111="",0,I111*'💰 Prix matériaux'!$B$7)+IF(J111="",0,J111*'💰 Prix matériaux'!$B$8)+IF(K111="",0,K111*'💰 Prix matériaux'!$B$9)+IF(L111="",0,L111*'💰 Prix matériaux'!$B$10)+IF(M111="",0,M111*'💰 Prix matériaux'!$B$11)+IF(N111="",0,N111*'💰 Prix matériaux'!$B$12)+IF(O111="",0,O111*'💰 Prix matériaux'!$B$13)+IF(P111="",0,P111*'💰 Prix matériaux'!$B$15)+IF(Q111="",0,Q111*'💰 Prix matériaux'!$B$16)</f>
        <v>27</v>
      </c>
      <c r="S111" s="39">
        <f t="shared" si="19"/>
        <v>37</v>
      </c>
    </row>
    <row r="112" ht="15.75" customHeight="1">
      <c r="A112" s="85" t="s">
        <v>5</v>
      </c>
      <c r="B112" s="86" t="s">
        <v>139</v>
      </c>
      <c r="C112" s="42" t="s">
        <v>81</v>
      </c>
      <c r="D112" s="37">
        <v>10.0</v>
      </c>
      <c r="E112" s="37">
        <v>1.0</v>
      </c>
      <c r="F112" s="37">
        <v>2.0</v>
      </c>
      <c r="G112" s="37"/>
      <c r="H112" s="37"/>
      <c r="I112" s="37"/>
      <c r="J112" s="37"/>
      <c r="K112" s="37"/>
      <c r="L112" s="37"/>
      <c r="M112" s="37"/>
      <c r="N112" s="37">
        <v>2.0</v>
      </c>
      <c r="O112" s="37"/>
      <c r="P112" s="37"/>
      <c r="Q112" s="37"/>
      <c r="R112" s="38">
        <f>IF(E112="",0,E112*'💰 Prix matériaux'!$B$3)+IF(F112="",0,F112*'💰 Prix matériaux'!$B$4)+IF(G112="",0,G112*'💰 Prix matériaux'!$B$5)+IF(H112="",0,H112*'💰 Prix matériaux'!$B$6)+IF(I112="",0,I112*'💰 Prix matériaux'!$B$7)+IF(J112="",0,J112*'💰 Prix matériaux'!$B$8)+IF(K112="",0,K112*'💰 Prix matériaux'!$B$9)+IF(L112="",0,L112*'💰 Prix matériaux'!$B$10)+IF(M112="",0,M112*'💰 Prix matériaux'!$B$11)+IF(N112="",0,N112*'💰 Prix matériaux'!$B$12)+IF(O112="",0,O112*'💰 Prix matériaux'!$B$13)+IF(P112="",0,P112*'💰 Prix matériaux'!$B$15)+IF(Q112="",0,Q112*'💰 Prix matériaux'!$B$16)</f>
        <v>20</v>
      </c>
      <c r="S112" s="39">
        <f t="shared" si="19"/>
        <v>30</v>
      </c>
    </row>
    <row r="113" ht="15.75" customHeight="1">
      <c r="A113" s="85" t="s">
        <v>5</v>
      </c>
      <c r="B113" s="86" t="s">
        <v>140</v>
      </c>
      <c r="C113" s="42" t="s">
        <v>81</v>
      </c>
      <c r="D113" s="37">
        <v>10.0</v>
      </c>
      <c r="E113" s="37">
        <v>1.0</v>
      </c>
      <c r="F113" s="37">
        <v>3.0</v>
      </c>
      <c r="G113" s="37"/>
      <c r="H113" s="37"/>
      <c r="I113" s="37"/>
      <c r="J113" s="37"/>
      <c r="K113" s="37"/>
      <c r="L113" s="37"/>
      <c r="M113" s="37"/>
      <c r="N113" s="37">
        <v>1.0</v>
      </c>
      <c r="O113" s="37"/>
      <c r="P113" s="37"/>
      <c r="Q113" s="37"/>
      <c r="R113" s="38">
        <f>IF(E113="",0,E113*'💰 Prix matériaux'!$B$3)+IF(F113="",0,F113*'💰 Prix matériaux'!$B$4)+IF(G113="",0,G113*'💰 Prix matériaux'!$B$5)+IF(H113="",0,H113*'💰 Prix matériaux'!$B$6)+IF(I113="",0,I113*'💰 Prix matériaux'!$B$7)+IF(J113="",0,J113*'💰 Prix matériaux'!$B$8)+IF(K113="",0,K113*'💰 Prix matériaux'!$B$9)+IF(L113="",0,L113*'💰 Prix matériaux'!$B$10)+IF(M113="",0,M113*'💰 Prix matériaux'!$B$11)+IF(N113="",0,N113*'💰 Prix matériaux'!$B$12)+IF(O113="",0,O113*'💰 Prix matériaux'!$B$13)+IF(P113="",0,P113*'💰 Prix matériaux'!$B$15)+IF(Q113="",0,Q113*'💰 Prix matériaux'!$B$16)</f>
        <v>26</v>
      </c>
      <c r="S113" s="39">
        <f t="shared" si="19"/>
        <v>36</v>
      </c>
    </row>
    <row r="114" ht="18.0" customHeight="1">
      <c r="A114" s="33" t="s">
        <v>36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1"/>
    </row>
    <row r="115" ht="15.75" customHeight="1">
      <c r="A115" s="87" t="s">
        <v>37</v>
      </c>
      <c r="B115" s="88" t="s">
        <v>84</v>
      </c>
      <c r="C115" s="42" t="s">
        <v>81</v>
      </c>
      <c r="D115" s="37">
        <v>60.0</v>
      </c>
      <c r="E115" s="37">
        <v>1.0</v>
      </c>
      <c r="F115" s="37">
        <v>1.0</v>
      </c>
      <c r="G115" s="37"/>
      <c r="H115" s="37"/>
      <c r="I115" s="37">
        <v>3.0</v>
      </c>
      <c r="J115" s="37"/>
      <c r="K115" s="37"/>
      <c r="L115" s="37"/>
      <c r="M115" s="37"/>
      <c r="N115" s="37">
        <v>3.0</v>
      </c>
      <c r="O115" s="37"/>
      <c r="P115" s="37"/>
      <c r="Q115" s="37"/>
      <c r="R115" s="38">
        <f>IF(E115="",0,E115*'💰 Prix matériaux'!$B$3)+IF(F115="",0,F115*'💰 Prix matériaux'!$B$4)+IF(G115="",0,G115*'💰 Prix matériaux'!$B$5)+IF(H115="",0,H115*'💰 Prix matériaux'!$B$6)+IF(I115="",0,I115*'💰 Prix matériaux'!$B$7)+IF(J115="",0,J115*'💰 Prix matériaux'!$B$8)+IF(K115="",0,K115*'💰 Prix matériaux'!$B$9)+IF(L115="",0,L115*'💰 Prix matériaux'!$B$10)+IF(M115="",0,M115*'💰 Prix matériaux'!$B$11)+IF(N115="",0,N115*'💰 Prix matériaux'!$B$12)+IF(O115="",0,O115*'💰 Prix matériaux'!$B$13)+IF(P115="",0,P115*'💰 Prix matériaux'!$B$15)+IF(Q115="",0,Q115*'💰 Prix matériaux'!$B$16)</f>
        <v>164</v>
      </c>
      <c r="S115" s="39">
        <f t="shared" ref="S115:S119" si="20">D115+R115</f>
        <v>224</v>
      </c>
    </row>
    <row r="116" ht="15.75" customHeight="1">
      <c r="A116" s="87" t="s">
        <v>37</v>
      </c>
      <c r="B116" s="88" t="s">
        <v>85</v>
      </c>
      <c r="C116" s="42" t="s">
        <v>81</v>
      </c>
      <c r="D116" s="37">
        <v>60.0</v>
      </c>
      <c r="E116" s="37">
        <v>1.0</v>
      </c>
      <c r="F116" s="37">
        <v>1.0</v>
      </c>
      <c r="G116" s="37"/>
      <c r="H116" s="37"/>
      <c r="I116" s="37">
        <v>2.0</v>
      </c>
      <c r="J116" s="37"/>
      <c r="K116" s="37"/>
      <c r="L116" s="37"/>
      <c r="M116" s="37"/>
      <c r="N116" s="37">
        <v>2.0</v>
      </c>
      <c r="O116" s="37"/>
      <c r="P116" s="37"/>
      <c r="Q116" s="37"/>
      <c r="R116" s="38">
        <f>IF(E116="",0,E116*'💰 Prix matériaux'!$B$3)+IF(F116="",0,F116*'💰 Prix matériaux'!$B$4)+IF(G116="",0,G116*'💰 Prix matériaux'!$B$5)+IF(H116="",0,H116*'💰 Prix matériaux'!$B$6)+IF(I116="",0,I116*'💰 Prix matériaux'!$B$7)+IF(J116="",0,J116*'💰 Prix matériaux'!$B$8)+IF(K116="",0,K116*'💰 Prix matériaux'!$B$9)+IF(L116="",0,L116*'💰 Prix matériaux'!$B$10)+IF(M116="",0,M116*'💰 Prix matériaux'!$B$11)+IF(N116="",0,N116*'💰 Prix matériaux'!$B$12)+IF(O116="",0,O116*'💰 Prix matériaux'!$B$13)+IF(P116="",0,P116*'💰 Prix matériaux'!$B$15)+IF(Q116="",0,Q116*'💰 Prix matériaux'!$B$16)</f>
        <v>113</v>
      </c>
      <c r="S116" s="39">
        <f t="shared" si="20"/>
        <v>173</v>
      </c>
    </row>
    <row r="117" ht="15.75" customHeight="1">
      <c r="A117" s="87" t="s">
        <v>37</v>
      </c>
      <c r="B117" s="88" t="s">
        <v>86</v>
      </c>
      <c r="C117" s="42" t="s">
        <v>81</v>
      </c>
      <c r="D117" s="37">
        <v>60.0</v>
      </c>
      <c r="E117" s="37">
        <v>1.0</v>
      </c>
      <c r="F117" s="37">
        <v>1.0</v>
      </c>
      <c r="G117" s="37"/>
      <c r="H117" s="37"/>
      <c r="I117" s="37">
        <v>2.0</v>
      </c>
      <c r="J117" s="37"/>
      <c r="K117" s="37"/>
      <c r="L117" s="37"/>
      <c r="M117" s="37"/>
      <c r="N117" s="37">
        <v>2.0</v>
      </c>
      <c r="O117" s="37"/>
      <c r="P117" s="37"/>
      <c r="Q117" s="37"/>
      <c r="R117" s="38">
        <f>IF(E117="",0,E117*'💰 Prix matériaux'!$B$3)+IF(F117="",0,F117*'💰 Prix matériaux'!$B$4)+IF(G117="",0,G117*'💰 Prix matériaux'!$B$5)+IF(H117="",0,H117*'💰 Prix matériaux'!$B$6)+IF(I117="",0,I117*'💰 Prix matériaux'!$B$7)+IF(J117="",0,J117*'💰 Prix matériaux'!$B$8)+IF(K117="",0,K117*'💰 Prix matériaux'!$B$9)+IF(L117="",0,L117*'💰 Prix matériaux'!$B$10)+IF(M117="",0,M117*'💰 Prix matériaux'!$B$11)+IF(N117="",0,N117*'💰 Prix matériaux'!$B$12)+IF(O117="",0,O117*'💰 Prix matériaux'!$B$13)+IF(P117="",0,P117*'💰 Prix matériaux'!$B$15)+IF(Q117="",0,Q117*'💰 Prix matériaux'!$B$16)</f>
        <v>113</v>
      </c>
      <c r="S117" s="39">
        <f t="shared" si="20"/>
        <v>173</v>
      </c>
    </row>
    <row r="118" ht="15.75" customHeight="1">
      <c r="A118" s="87" t="s">
        <v>37</v>
      </c>
      <c r="B118" s="88" t="s">
        <v>87</v>
      </c>
      <c r="C118" s="42" t="s">
        <v>81</v>
      </c>
      <c r="D118" s="37">
        <v>60.0</v>
      </c>
      <c r="E118" s="37">
        <v>1.0</v>
      </c>
      <c r="F118" s="37">
        <v>1.0</v>
      </c>
      <c r="G118" s="37"/>
      <c r="H118" s="37"/>
      <c r="I118" s="37">
        <v>1.0</v>
      </c>
      <c r="J118" s="37"/>
      <c r="K118" s="37"/>
      <c r="L118" s="37"/>
      <c r="M118" s="37"/>
      <c r="N118" s="37">
        <v>2.0</v>
      </c>
      <c r="O118" s="37"/>
      <c r="P118" s="37"/>
      <c r="Q118" s="37"/>
      <c r="R118" s="38">
        <f>IF(E118="",0,E118*'💰 Prix matériaux'!$B$3)+IF(F118="",0,F118*'💰 Prix matériaux'!$B$4)+IF(G118="",0,G118*'💰 Prix matériaux'!$B$5)+IF(H118="",0,H118*'💰 Prix matériaux'!$B$6)+IF(I118="",0,I118*'💰 Prix matériaux'!$B$7)+IF(J118="",0,J118*'💰 Prix matériaux'!$B$8)+IF(K118="",0,K118*'💰 Prix matériaux'!$B$9)+IF(L118="",0,L118*'💰 Prix matériaux'!$B$10)+IF(M118="",0,M118*'💰 Prix matériaux'!$B$11)+IF(N118="",0,N118*'💰 Prix matériaux'!$B$12)+IF(O118="",0,O118*'💰 Prix matériaux'!$B$13)+IF(P118="",0,P118*'💰 Prix matériaux'!$B$15)+IF(Q118="",0,Q118*'💰 Prix matériaux'!$B$16)</f>
        <v>63</v>
      </c>
      <c r="S118" s="39">
        <f t="shared" si="20"/>
        <v>123</v>
      </c>
    </row>
    <row r="119" ht="15.75" customHeight="1">
      <c r="A119" s="87" t="s">
        <v>37</v>
      </c>
      <c r="B119" s="88" t="s">
        <v>88</v>
      </c>
      <c r="C119" s="42" t="s">
        <v>81</v>
      </c>
      <c r="D119" s="37">
        <v>60.0</v>
      </c>
      <c r="E119" s="37">
        <v>1.0</v>
      </c>
      <c r="F119" s="37">
        <v>1.0</v>
      </c>
      <c r="G119" s="37"/>
      <c r="H119" s="37"/>
      <c r="I119" s="37">
        <v>2.0</v>
      </c>
      <c r="J119" s="37"/>
      <c r="K119" s="37"/>
      <c r="L119" s="37"/>
      <c r="M119" s="37"/>
      <c r="N119" s="37">
        <v>1.0</v>
      </c>
      <c r="O119" s="37"/>
      <c r="P119" s="37"/>
      <c r="Q119" s="37"/>
      <c r="R119" s="38">
        <f>IF(E119="",0,E119*'💰 Prix matériaux'!$B$3)+IF(F119="",0,F119*'💰 Prix matériaux'!$B$4)+IF(G119="",0,G119*'💰 Prix matériaux'!$B$5)+IF(H119="",0,H119*'💰 Prix matériaux'!$B$6)+IF(I119="",0,I119*'💰 Prix matériaux'!$B$7)+IF(J119="",0,J119*'💰 Prix matériaux'!$B$8)+IF(K119="",0,K119*'💰 Prix matériaux'!$B$9)+IF(L119="",0,L119*'💰 Prix matériaux'!$B$10)+IF(M119="",0,M119*'💰 Prix matériaux'!$B$11)+IF(N119="",0,N119*'💰 Prix matériaux'!$B$12)+IF(O119="",0,O119*'💰 Prix matériaux'!$B$13)+IF(P119="",0,P119*'💰 Prix matériaux'!$B$15)+IF(Q119="",0,Q119*'💰 Prix matériaux'!$B$16)</f>
        <v>112</v>
      </c>
      <c r="S119" s="39">
        <f t="shared" si="20"/>
        <v>172</v>
      </c>
    </row>
    <row r="120" ht="18.0" customHeight="1">
      <c r="A120" s="33" t="s">
        <v>141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1"/>
    </row>
    <row r="121" ht="15.75" customHeight="1">
      <c r="A121" s="89" t="s">
        <v>142</v>
      </c>
      <c r="B121" s="90" t="s">
        <v>84</v>
      </c>
      <c r="C121" s="91" t="s">
        <v>81</v>
      </c>
      <c r="D121" s="92">
        <v>60.0</v>
      </c>
      <c r="E121" s="92">
        <v>1.0</v>
      </c>
      <c r="F121" s="92">
        <v>1.0</v>
      </c>
      <c r="G121" s="37"/>
      <c r="H121" s="37"/>
      <c r="I121" s="92">
        <v>3.0</v>
      </c>
      <c r="J121" s="37"/>
      <c r="K121" s="37"/>
      <c r="L121" s="37"/>
      <c r="M121" s="37"/>
      <c r="N121" s="92">
        <v>3.0</v>
      </c>
      <c r="O121" s="37"/>
      <c r="P121" s="37"/>
      <c r="Q121" s="37"/>
      <c r="R121" s="93">
        <v>173.0</v>
      </c>
      <c r="S121" s="94">
        <v>233.0</v>
      </c>
    </row>
    <row r="122" ht="15.75" customHeight="1">
      <c r="A122" s="95" t="s">
        <v>142</v>
      </c>
      <c r="B122" s="96" t="s">
        <v>85</v>
      </c>
      <c r="C122" s="42" t="s">
        <v>81</v>
      </c>
      <c r="D122" s="37">
        <v>60.0</v>
      </c>
      <c r="E122" s="37">
        <v>1.0</v>
      </c>
      <c r="F122" s="37">
        <v>1.0</v>
      </c>
      <c r="G122" s="37"/>
      <c r="H122" s="37"/>
      <c r="I122" s="37">
        <v>2.0</v>
      </c>
      <c r="J122" s="37"/>
      <c r="K122" s="37"/>
      <c r="L122" s="37"/>
      <c r="M122" s="37"/>
      <c r="N122" s="37">
        <v>2.0</v>
      </c>
      <c r="O122" s="37"/>
      <c r="P122" s="37"/>
      <c r="Q122" s="37"/>
      <c r="R122" s="38">
        <f>IF(E122="",0,E122*'💰 Prix matériaux'!$B$3)+IF(F122="",0,F122*'💰 Prix matériaux'!$B$4)+IF(G122="",0,G122*'💰 Prix matériaux'!$B$5)+IF(H122="",0,H122*'💰 Prix matériaux'!$B$6)+IF(I122="",0,I122*'💰 Prix matériaux'!$B$7)+IF(J122="",0,J122*'💰 Prix matériaux'!$B$8)+IF(K122="",0,K122*'💰 Prix matériaux'!$B$9)+IF(L122="",0,L122*'💰 Prix matériaux'!$B$10)+IF(M122="",0,M122*'💰 Prix matériaux'!$B$11)+IF(N122="",0,N122*'💰 Prix matériaux'!$B$12)+IF(O122="",0,O122*'💰 Prix matériaux'!$B$13)+IF(P122="",0,P122*'💰 Prix matériaux'!$B$15)+IF(Q122="",0,Q122*'💰 Prix matériaux'!$B$16)</f>
        <v>113</v>
      </c>
      <c r="S122" s="39">
        <f t="shared" ref="S122:S125" si="21">D122+R122</f>
        <v>173</v>
      </c>
    </row>
    <row r="123" ht="15.75" customHeight="1">
      <c r="A123" s="95" t="s">
        <v>142</v>
      </c>
      <c r="B123" s="96" t="s">
        <v>87</v>
      </c>
      <c r="C123" s="42" t="s">
        <v>81</v>
      </c>
      <c r="D123" s="37">
        <v>60.0</v>
      </c>
      <c r="E123" s="37">
        <v>1.0</v>
      </c>
      <c r="F123" s="37">
        <v>1.0</v>
      </c>
      <c r="G123" s="37"/>
      <c r="H123" s="37"/>
      <c r="I123" s="37">
        <v>1.0</v>
      </c>
      <c r="J123" s="37"/>
      <c r="K123" s="37"/>
      <c r="L123" s="37"/>
      <c r="M123" s="37"/>
      <c r="N123" s="37">
        <v>2.0</v>
      </c>
      <c r="O123" s="37"/>
      <c r="P123" s="37"/>
      <c r="Q123" s="37"/>
      <c r="R123" s="38">
        <f>IF(E123="",0,E123*'💰 Prix matériaux'!$B$3)+IF(F123="",0,F123*'💰 Prix matériaux'!$B$4)+IF(G123="",0,G123*'💰 Prix matériaux'!$B$5)+IF(H123="",0,H123*'💰 Prix matériaux'!$B$6)+IF(I123="",0,I123*'💰 Prix matériaux'!$B$7)+IF(J123="",0,J123*'💰 Prix matériaux'!$B$8)+IF(K123="",0,K123*'💰 Prix matériaux'!$B$9)+IF(L123="",0,L123*'💰 Prix matériaux'!$B$10)+IF(M123="",0,M123*'💰 Prix matériaux'!$B$11)+IF(N123="",0,N123*'💰 Prix matériaux'!$B$12)+IF(O123="",0,O123*'💰 Prix matériaux'!$B$13)+IF(P123="",0,P123*'💰 Prix matériaux'!$B$15)+IF(Q123="",0,Q123*'💰 Prix matériaux'!$B$16)</f>
        <v>63</v>
      </c>
      <c r="S123" s="39">
        <f t="shared" si="21"/>
        <v>123</v>
      </c>
    </row>
    <row r="124" ht="15.75" customHeight="1">
      <c r="A124" s="95" t="s">
        <v>142</v>
      </c>
      <c r="B124" s="96" t="s">
        <v>86</v>
      </c>
      <c r="C124" s="42" t="s">
        <v>81</v>
      </c>
      <c r="D124" s="37">
        <v>60.0</v>
      </c>
      <c r="E124" s="37">
        <v>1.0</v>
      </c>
      <c r="F124" s="37">
        <v>1.0</v>
      </c>
      <c r="G124" s="37"/>
      <c r="H124" s="37"/>
      <c r="I124" s="37">
        <v>2.0</v>
      </c>
      <c r="J124" s="37"/>
      <c r="K124" s="37"/>
      <c r="L124" s="37"/>
      <c r="M124" s="37"/>
      <c r="N124" s="37">
        <v>2.0</v>
      </c>
      <c r="O124" s="37"/>
      <c r="P124" s="37"/>
      <c r="Q124" s="37"/>
      <c r="R124" s="38">
        <f>IF(E124="",0,E124*'💰 Prix matériaux'!$B$3)+IF(F124="",0,F124*'💰 Prix matériaux'!$B$4)+IF(G124="",0,G124*'💰 Prix matériaux'!$B$5)+IF(H124="",0,H124*'💰 Prix matériaux'!$B$6)+IF(I124="",0,I124*'💰 Prix matériaux'!$B$7)+IF(J124="",0,J124*'💰 Prix matériaux'!$B$8)+IF(K124="",0,K124*'💰 Prix matériaux'!$B$9)+IF(L124="",0,L124*'💰 Prix matériaux'!$B$10)+IF(M124="",0,M124*'💰 Prix matériaux'!$B$11)+IF(N124="",0,N124*'💰 Prix matériaux'!$B$12)+IF(O124="",0,O124*'💰 Prix matériaux'!$B$13)+IF(P124="",0,P124*'💰 Prix matériaux'!$B$15)+IF(Q124="",0,Q124*'💰 Prix matériaux'!$B$16)</f>
        <v>113</v>
      </c>
      <c r="S124" s="39">
        <f t="shared" si="21"/>
        <v>173</v>
      </c>
    </row>
    <row r="125" ht="15.75" customHeight="1">
      <c r="A125" s="95" t="s">
        <v>142</v>
      </c>
      <c r="B125" s="96" t="s">
        <v>88</v>
      </c>
      <c r="C125" s="42" t="s">
        <v>81</v>
      </c>
      <c r="D125" s="37">
        <v>60.0</v>
      </c>
      <c r="E125" s="37">
        <v>1.0</v>
      </c>
      <c r="F125" s="37">
        <v>1.0</v>
      </c>
      <c r="G125" s="37"/>
      <c r="H125" s="37"/>
      <c r="I125" s="37">
        <v>2.0</v>
      </c>
      <c r="J125" s="37"/>
      <c r="K125" s="37"/>
      <c r="L125" s="37"/>
      <c r="M125" s="37"/>
      <c r="N125" s="37">
        <v>1.0</v>
      </c>
      <c r="O125" s="37"/>
      <c r="P125" s="37"/>
      <c r="Q125" s="37"/>
      <c r="R125" s="38">
        <f>IF(E125="",0,E125*'💰 Prix matériaux'!$B$3)+IF(F125="",0,F125*'💰 Prix matériaux'!$B$4)+IF(G125="",0,G125*'💰 Prix matériaux'!$B$5)+IF(H125="",0,H125*'💰 Prix matériaux'!$B$6)+IF(I125="",0,I125*'💰 Prix matériaux'!$B$7)+IF(J125="",0,J125*'💰 Prix matériaux'!$B$8)+IF(K125="",0,K125*'💰 Prix matériaux'!$B$9)+IF(L125="",0,L125*'💰 Prix matériaux'!$B$10)+IF(M125="",0,M125*'💰 Prix matériaux'!$B$11)+IF(N125="",0,N125*'💰 Prix matériaux'!$B$12)+IF(O125="",0,O125*'💰 Prix matériaux'!$B$13)+IF(P125="",0,P125*'💰 Prix matériaux'!$B$15)+IF(Q125="",0,Q125*'💰 Prix matériaux'!$B$16)</f>
        <v>112</v>
      </c>
      <c r="S125" s="39">
        <f t="shared" si="21"/>
        <v>172</v>
      </c>
    </row>
    <row r="126" ht="18.0" customHeight="1">
      <c r="A126" s="33" t="s">
        <v>143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1"/>
    </row>
    <row r="127" ht="15.75" customHeight="1">
      <c r="A127" s="97" t="s">
        <v>144</v>
      </c>
      <c r="B127" s="98" t="s">
        <v>84</v>
      </c>
      <c r="C127" s="42" t="s">
        <v>81</v>
      </c>
      <c r="D127" s="37">
        <v>60.0</v>
      </c>
      <c r="E127" s="37">
        <v>1.0</v>
      </c>
      <c r="F127" s="37">
        <v>1.0</v>
      </c>
      <c r="G127" s="37"/>
      <c r="H127" s="37"/>
      <c r="I127" s="37">
        <v>3.0</v>
      </c>
      <c r="J127" s="37"/>
      <c r="K127" s="37"/>
      <c r="L127" s="37"/>
      <c r="M127" s="37"/>
      <c r="N127" s="37">
        <v>3.0</v>
      </c>
      <c r="O127" s="37"/>
      <c r="P127" s="37"/>
      <c r="Q127" s="37"/>
      <c r="R127" s="38">
        <f>IF(E127="",0,E127*'💰 Prix matériaux'!$B$3)+IF(F127="",0,F127*'💰 Prix matériaux'!$B$4)+IF(G127="",0,G127*'💰 Prix matériaux'!$B$5)+IF(H127="",0,H127*'💰 Prix matériaux'!$B$6)+IF(I127="",0,I127*'💰 Prix matériaux'!$B$7)+IF(J127="",0,J127*'💰 Prix matériaux'!$B$8)+IF(K127="",0,K127*'💰 Prix matériaux'!$B$9)+IF(L127="",0,L127*'💰 Prix matériaux'!$B$10)+IF(M127="",0,M127*'💰 Prix matériaux'!$B$11)+IF(N127="",0,N127*'💰 Prix matériaux'!$B$12)+IF(O127="",0,O127*'💰 Prix matériaux'!$B$13)+IF(P127="",0,P127*'💰 Prix matériaux'!$B$15)+IF(Q127="",0,Q127*'💰 Prix matériaux'!$B$16)</f>
        <v>164</v>
      </c>
      <c r="S127" s="39">
        <f t="shared" ref="S127:S130" si="22">D127+R127</f>
        <v>224</v>
      </c>
    </row>
    <row r="128" ht="15.75" customHeight="1">
      <c r="A128" s="97" t="s">
        <v>144</v>
      </c>
      <c r="B128" s="98" t="s">
        <v>85</v>
      </c>
      <c r="C128" s="42" t="s">
        <v>81</v>
      </c>
      <c r="D128" s="37">
        <v>60.0</v>
      </c>
      <c r="E128" s="37">
        <v>1.0</v>
      </c>
      <c r="F128" s="37">
        <v>1.0</v>
      </c>
      <c r="G128" s="37"/>
      <c r="H128" s="37"/>
      <c r="I128" s="37">
        <v>2.0</v>
      </c>
      <c r="J128" s="37"/>
      <c r="K128" s="37"/>
      <c r="L128" s="37"/>
      <c r="M128" s="37"/>
      <c r="N128" s="37">
        <v>2.0</v>
      </c>
      <c r="O128" s="37"/>
      <c r="P128" s="37"/>
      <c r="Q128" s="37"/>
      <c r="R128" s="38">
        <f>IF(E128="",0,E128*'💰 Prix matériaux'!$B$3)+IF(F128="",0,F128*'💰 Prix matériaux'!$B$4)+IF(G128="",0,G128*'💰 Prix matériaux'!$B$5)+IF(H128="",0,H128*'💰 Prix matériaux'!$B$6)+IF(I128="",0,I128*'💰 Prix matériaux'!$B$7)+IF(J128="",0,J128*'💰 Prix matériaux'!$B$8)+IF(K128="",0,K128*'💰 Prix matériaux'!$B$9)+IF(L128="",0,L128*'💰 Prix matériaux'!$B$10)+IF(M128="",0,M128*'💰 Prix matériaux'!$B$11)+IF(N128="",0,N128*'💰 Prix matériaux'!$B$12)+IF(O128="",0,O128*'💰 Prix matériaux'!$B$13)+IF(P128="",0,P128*'💰 Prix matériaux'!$B$15)+IF(Q128="",0,Q128*'💰 Prix matériaux'!$B$16)</f>
        <v>113</v>
      </c>
      <c r="S128" s="39">
        <f t="shared" si="22"/>
        <v>173</v>
      </c>
    </row>
    <row r="129" ht="15.75" customHeight="1">
      <c r="A129" s="97" t="s">
        <v>144</v>
      </c>
      <c r="B129" s="98" t="s">
        <v>87</v>
      </c>
      <c r="C129" s="42" t="s">
        <v>81</v>
      </c>
      <c r="D129" s="37">
        <v>60.0</v>
      </c>
      <c r="E129" s="37">
        <v>1.0</v>
      </c>
      <c r="F129" s="37">
        <v>1.0</v>
      </c>
      <c r="G129" s="37"/>
      <c r="H129" s="37"/>
      <c r="I129" s="37">
        <v>1.0</v>
      </c>
      <c r="J129" s="37"/>
      <c r="K129" s="37"/>
      <c r="L129" s="37"/>
      <c r="M129" s="37"/>
      <c r="N129" s="37">
        <v>2.0</v>
      </c>
      <c r="O129" s="37"/>
      <c r="P129" s="37"/>
      <c r="Q129" s="37"/>
      <c r="R129" s="38">
        <f>IF(E129="",0,E129*'💰 Prix matériaux'!$B$3)+IF(F129="",0,F129*'💰 Prix matériaux'!$B$4)+IF(G129="",0,G129*'💰 Prix matériaux'!$B$5)+IF(H129="",0,H129*'💰 Prix matériaux'!$B$6)+IF(I129="",0,I129*'💰 Prix matériaux'!$B$7)+IF(J129="",0,J129*'💰 Prix matériaux'!$B$8)+IF(K129="",0,K129*'💰 Prix matériaux'!$B$9)+IF(L129="",0,L129*'💰 Prix matériaux'!$B$10)+IF(M129="",0,M129*'💰 Prix matériaux'!$B$11)+IF(N129="",0,N129*'💰 Prix matériaux'!$B$12)+IF(O129="",0,O129*'💰 Prix matériaux'!$B$13)+IF(P129="",0,P129*'💰 Prix matériaux'!$B$15)+IF(Q129="",0,Q129*'💰 Prix matériaux'!$B$16)</f>
        <v>63</v>
      </c>
      <c r="S129" s="39">
        <f t="shared" si="22"/>
        <v>123</v>
      </c>
    </row>
    <row r="130" ht="15.75" customHeight="1">
      <c r="A130" s="97" t="s">
        <v>144</v>
      </c>
      <c r="B130" s="98" t="s">
        <v>86</v>
      </c>
      <c r="C130" s="42" t="s">
        <v>81</v>
      </c>
      <c r="D130" s="37">
        <v>60.0</v>
      </c>
      <c r="E130" s="37">
        <v>1.0</v>
      </c>
      <c r="F130" s="37">
        <v>1.0</v>
      </c>
      <c r="G130" s="37"/>
      <c r="H130" s="37"/>
      <c r="I130" s="37">
        <v>2.0</v>
      </c>
      <c r="J130" s="37"/>
      <c r="K130" s="37"/>
      <c r="L130" s="37"/>
      <c r="M130" s="37"/>
      <c r="N130" s="37">
        <v>2.0</v>
      </c>
      <c r="O130" s="37"/>
      <c r="P130" s="37"/>
      <c r="Q130" s="37"/>
      <c r="R130" s="38">
        <f>IF(E130="",0,E130*'💰 Prix matériaux'!$B$3)+IF(F130="",0,F130*'💰 Prix matériaux'!$B$4)+IF(G130="",0,G130*'💰 Prix matériaux'!$B$5)+IF(H130="",0,H130*'💰 Prix matériaux'!$B$6)+IF(I130="",0,I130*'💰 Prix matériaux'!$B$7)+IF(J130="",0,J130*'💰 Prix matériaux'!$B$8)+IF(K130="",0,K130*'💰 Prix matériaux'!$B$9)+IF(L130="",0,L130*'💰 Prix matériaux'!$B$10)+IF(M130="",0,M130*'💰 Prix matériaux'!$B$11)+IF(N130="",0,N130*'💰 Prix matériaux'!$B$12)+IF(O130="",0,O130*'💰 Prix matériaux'!$B$13)+IF(P130="",0,P130*'💰 Prix matériaux'!$B$15)+IF(Q130="",0,Q130*'💰 Prix matériaux'!$B$16)</f>
        <v>113</v>
      </c>
      <c r="S130" s="39">
        <f t="shared" si="22"/>
        <v>173</v>
      </c>
    </row>
    <row r="131" ht="18.0" customHeight="1">
      <c r="A131" s="33" t="s">
        <v>145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1"/>
    </row>
    <row r="132" ht="15.75" customHeight="1">
      <c r="A132" s="99" t="s">
        <v>146</v>
      </c>
      <c r="B132" s="100" t="s">
        <v>84</v>
      </c>
      <c r="C132" s="42" t="s">
        <v>81</v>
      </c>
      <c r="D132" s="37">
        <v>40.0</v>
      </c>
      <c r="E132" s="37">
        <v>1.0</v>
      </c>
      <c r="F132" s="37"/>
      <c r="G132" s="37">
        <v>4.0</v>
      </c>
      <c r="H132" s="37"/>
      <c r="I132" s="37"/>
      <c r="J132" s="37"/>
      <c r="K132" s="37"/>
      <c r="L132" s="37"/>
      <c r="M132" s="37"/>
      <c r="N132" s="37">
        <v>3.0</v>
      </c>
      <c r="O132" s="37"/>
      <c r="P132" s="37"/>
      <c r="Q132" s="37"/>
      <c r="R132" s="38">
        <f>IF(E132="",0,E132*'💰 Prix matériaux'!$B$3)+IF(F132="",0,F132*'💰 Prix matériaux'!$B$4)+IF(G132="",0,G132*'💰 Prix matériaux'!$B$5)+IF(H132="",0,H132*'💰 Prix matériaux'!$B$6)+IF(I132="",0,I132*'💰 Prix matériaux'!$B$7)+IF(J132="",0,J132*'💰 Prix matériaux'!$B$8)+IF(K132="",0,K132*'💰 Prix matériaux'!$B$9)+IF(L132="",0,L132*'💰 Prix matériaux'!$B$10)+IF(M132="",0,M132*'💰 Prix matériaux'!$B$11)+IF(N132="",0,N132*'💰 Prix matériaux'!$B$12)+IF(O132="",0,O132*'💰 Prix matériaux'!$B$13)+IF(P132="",0,P132*'💰 Prix matériaux'!$B$15)+IF(Q132="",0,Q132*'💰 Prix matériaux'!$B$16)</f>
        <v>87</v>
      </c>
      <c r="S132" s="39">
        <f t="shared" ref="S132:S136" si="23">D132+R132</f>
        <v>127</v>
      </c>
    </row>
    <row r="133" ht="15.75" customHeight="1">
      <c r="A133" s="99" t="s">
        <v>146</v>
      </c>
      <c r="B133" s="100" t="s">
        <v>85</v>
      </c>
      <c r="C133" s="42" t="s">
        <v>81</v>
      </c>
      <c r="D133" s="37">
        <v>40.0</v>
      </c>
      <c r="E133" s="37">
        <v>1.0</v>
      </c>
      <c r="F133" s="37"/>
      <c r="G133" s="37">
        <v>3.0</v>
      </c>
      <c r="H133" s="37"/>
      <c r="I133" s="37"/>
      <c r="J133" s="37"/>
      <c r="K133" s="37"/>
      <c r="L133" s="37"/>
      <c r="M133" s="37"/>
      <c r="N133" s="37">
        <v>2.0</v>
      </c>
      <c r="O133" s="37"/>
      <c r="P133" s="37"/>
      <c r="Q133" s="37"/>
      <c r="R133" s="38">
        <f>IF(E133="",0,E133*'💰 Prix matériaux'!$B$3)+IF(F133="",0,F133*'💰 Prix matériaux'!$B$4)+IF(G133="",0,G133*'💰 Prix matériaux'!$B$5)+IF(H133="",0,H133*'💰 Prix matériaux'!$B$6)+IF(I133="",0,I133*'💰 Prix matériaux'!$B$7)+IF(J133="",0,J133*'💰 Prix matériaux'!$B$8)+IF(K133="",0,K133*'💰 Prix matériaux'!$B$9)+IF(L133="",0,L133*'💰 Prix matériaux'!$B$10)+IF(M133="",0,M133*'💰 Prix matériaux'!$B$11)+IF(N133="",0,N133*'💰 Prix matériaux'!$B$12)+IF(O133="",0,O133*'💰 Prix matériaux'!$B$13)+IF(P133="",0,P133*'💰 Prix matériaux'!$B$15)+IF(Q133="",0,Q133*'💰 Prix matériaux'!$B$16)</f>
        <v>66</v>
      </c>
      <c r="S133" s="39">
        <f t="shared" si="23"/>
        <v>106</v>
      </c>
    </row>
    <row r="134" ht="15.75" customHeight="1">
      <c r="A134" s="99" t="s">
        <v>146</v>
      </c>
      <c r="B134" s="100" t="s">
        <v>86</v>
      </c>
      <c r="C134" s="42" t="s">
        <v>81</v>
      </c>
      <c r="D134" s="37">
        <v>40.0</v>
      </c>
      <c r="E134" s="37">
        <v>1.0</v>
      </c>
      <c r="F134" s="37"/>
      <c r="G134" s="37">
        <v>2.0</v>
      </c>
      <c r="H134" s="37"/>
      <c r="I134" s="37"/>
      <c r="J134" s="37"/>
      <c r="K134" s="37"/>
      <c r="L134" s="37"/>
      <c r="M134" s="37"/>
      <c r="N134" s="37">
        <v>2.0</v>
      </c>
      <c r="O134" s="37"/>
      <c r="P134" s="37"/>
      <c r="Q134" s="37"/>
      <c r="R134" s="38">
        <f>IF(E134="",0,E134*'💰 Prix matériaux'!$B$3)+IF(F134="",0,F134*'💰 Prix matériaux'!$B$4)+IF(G134="",0,G134*'💰 Prix matériaux'!$B$5)+IF(H134="",0,H134*'💰 Prix matériaux'!$B$6)+IF(I134="",0,I134*'💰 Prix matériaux'!$B$7)+IF(J134="",0,J134*'💰 Prix matériaux'!$B$8)+IF(K134="",0,K134*'💰 Prix matériaux'!$B$9)+IF(L134="",0,L134*'💰 Prix matériaux'!$B$10)+IF(M134="",0,M134*'💰 Prix matériaux'!$B$11)+IF(N134="",0,N134*'💰 Prix matériaux'!$B$12)+IF(O134="",0,O134*'💰 Prix matériaux'!$B$13)+IF(P134="",0,P134*'💰 Prix matériaux'!$B$15)+IF(Q134="",0,Q134*'💰 Prix matériaux'!$B$16)</f>
        <v>46</v>
      </c>
      <c r="S134" s="39">
        <f t="shared" si="23"/>
        <v>86</v>
      </c>
    </row>
    <row r="135" ht="15.75" customHeight="1">
      <c r="A135" s="99" t="s">
        <v>146</v>
      </c>
      <c r="B135" s="100" t="s">
        <v>87</v>
      </c>
      <c r="C135" s="42" t="s">
        <v>81</v>
      </c>
      <c r="D135" s="37">
        <v>40.0</v>
      </c>
      <c r="E135" s="37">
        <v>1.0</v>
      </c>
      <c r="F135" s="37"/>
      <c r="G135" s="37">
        <v>2.0</v>
      </c>
      <c r="H135" s="37"/>
      <c r="I135" s="37"/>
      <c r="J135" s="37"/>
      <c r="K135" s="37"/>
      <c r="L135" s="37"/>
      <c r="M135" s="37"/>
      <c r="N135" s="37">
        <v>2.0</v>
      </c>
      <c r="O135" s="37"/>
      <c r="P135" s="37"/>
      <c r="Q135" s="37"/>
      <c r="R135" s="38">
        <f>IF(E135="",0,E135*'💰 Prix matériaux'!$B$3)+IF(F135="",0,F135*'💰 Prix matériaux'!$B$4)+IF(G135="",0,G135*'💰 Prix matériaux'!$B$5)+IF(H135="",0,H135*'💰 Prix matériaux'!$B$6)+IF(I135="",0,I135*'💰 Prix matériaux'!$B$7)+IF(J135="",0,J135*'💰 Prix matériaux'!$B$8)+IF(K135="",0,K135*'💰 Prix matériaux'!$B$9)+IF(L135="",0,L135*'💰 Prix matériaux'!$B$10)+IF(M135="",0,M135*'💰 Prix matériaux'!$B$11)+IF(N135="",0,N135*'💰 Prix matériaux'!$B$12)+IF(O135="",0,O135*'💰 Prix matériaux'!$B$13)+IF(P135="",0,P135*'💰 Prix matériaux'!$B$15)+IF(Q135="",0,Q135*'💰 Prix matériaux'!$B$16)</f>
        <v>46</v>
      </c>
      <c r="S135" s="39">
        <f t="shared" si="23"/>
        <v>86</v>
      </c>
    </row>
    <row r="136" ht="15.75" customHeight="1">
      <c r="A136" s="99" t="s">
        <v>146</v>
      </c>
      <c r="B136" s="100" t="s">
        <v>88</v>
      </c>
      <c r="C136" s="42" t="s">
        <v>81</v>
      </c>
      <c r="D136" s="37">
        <v>40.0</v>
      </c>
      <c r="E136" s="37">
        <v>1.0</v>
      </c>
      <c r="F136" s="37"/>
      <c r="G136" s="37">
        <v>3.0</v>
      </c>
      <c r="H136" s="37"/>
      <c r="I136" s="37"/>
      <c r="J136" s="37"/>
      <c r="K136" s="37"/>
      <c r="L136" s="37"/>
      <c r="M136" s="37"/>
      <c r="N136" s="37">
        <v>1.0</v>
      </c>
      <c r="O136" s="37"/>
      <c r="P136" s="37"/>
      <c r="Q136" s="37"/>
      <c r="R136" s="38">
        <f>IF(E136="",0,E136*'💰 Prix matériaux'!$B$3)+IF(F136="",0,F136*'💰 Prix matériaux'!$B$4)+IF(G136="",0,G136*'💰 Prix matériaux'!$B$5)+IF(H136="",0,H136*'💰 Prix matériaux'!$B$6)+IF(I136="",0,I136*'💰 Prix matériaux'!$B$7)+IF(J136="",0,J136*'💰 Prix matériaux'!$B$8)+IF(K136="",0,K136*'💰 Prix matériaux'!$B$9)+IF(L136="",0,L136*'💰 Prix matériaux'!$B$10)+IF(M136="",0,M136*'💰 Prix matériaux'!$B$11)+IF(N136="",0,N136*'💰 Prix matériaux'!$B$12)+IF(O136="",0,O136*'💰 Prix matériaux'!$B$13)+IF(P136="",0,P136*'💰 Prix matériaux'!$B$15)+IF(Q136="",0,Q136*'💰 Prix matériaux'!$B$16)</f>
        <v>65</v>
      </c>
      <c r="S136" s="39">
        <f t="shared" si="23"/>
        <v>105</v>
      </c>
    </row>
    <row r="137" ht="18.0" customHeight="1">
      <c r="A137" s="33" t="s">
        <v>147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1"/>
    </row>
    <row r="138" ht="15.75" customHeight="1">
      <c r="A138" s="101" t="s">
        <v>148</v>
      </c>
      <c r="B138" s="102" t="s">
        <v>84</v>
      </c>
      <c r="C138" s="36" t="s">
        <v>75</v>
      </c>
      <c r="D138" s="37">
        <v>40.0</v>
      </c>
      <c r="E138" s="37"/>
      <c r="F138" s="37"/>
      <c r="G138" s="37">
        <v>1.0</v>
      </c>
      <c r="H138" s="37"/>
      <c r="I138" s="37"/>
      <c r="J138" s="37"/>
      <c r="K138" s="37"/>
      <c r="L138" s="37"/>
      <c r="M138" s="37">
        <v>4.0</v>
      </c>
      <c r="N138" s="37">
        <v>3.0</v>
      </c>
      <c r="O138" s="37"/>
      <c r="P138" s="37"/>
      <c r="Q138" s="37"/>
      <c r="R138" s="38">
        <f>IF(E138="",0,E138*'💰 Prix matériaux'!$B$3)+IF(F138="",0,F138*'💰 Prix matériaux'!$B$4)+IF(G138="",0,G138*'💰 Prix matériaux'!$B$5)+IF(H138="",0,H138*'💰 Prix matériaux'!$B$6)+IF(I138="",0,I138*'💰 Prix matériaux'!$B$7)+IF(J138="",0,J138*'💰 Prix matériaux'!$B$8)+IF(K138="",0,K138*'💰 Prix matériaux'!$B$9)+IF(L138="",0,L138*'💰 Prix matériaux'!$B$10)+IF(M138="",0,M138*'💰 Prix matériaux'!$B$11)+IF(N138="",0,N138*'💰 Prix matériaux'!$B$12)+IF(O138="",0,O138*'💰 Prix matériaux'!$B$13)+IF(P138="",0,P138*'💰 Prix matériaux'!$B$15)+IF(Q138="",0,Q138*'💰 Prix matériaux'!$B$16)</f>
        <v>39</v>
      </c>
      <c r="S138" s="39">
        <f t="shared" ref="S138:S141" si="24">D138+R138</f>
        <v>79</v>
      </c>
    </row>
    <row r="139" ht="15.75" customHeight="1">
      <c r="A139" s="101" t="s">
        <v>148</v>
      </c>
      <c r="B139" s="102" t="s">
        <v>85</v>
      </c>
      <c r="C139" s="36" t="s">
        <v>75</v>
      </c>
      <c r="D139" s="37">
        <v>40.0</v>
      </c>
      <c r="E139" s="37"/>
      <c r="F139" s="37"/>
      <c r="G139" s="37">
        <v>1.0</v>
      </c>
      <c r="H139" s="37"/>
      <c r="I139" s="37"/>
      <c r="J139" s="37"/>
      <c r="K139" s="37"/>
      <c r="L139" s="37"/>
      <c r="M139" s="37">
        <v>2.0</v>
      </c>
      <c r="N139" s="37">
        <v>2.0</v>
      </c>
      <c r="O139" s="37"/>
      <c r="P139" s="37"/>
      <c r="Q139" s="37"/>
      <c r="R139" s="38">
        <f>IF(E139="",0,E139*'💰 Prix matériaux'!$B$3)+IF(F139="",0,F139*'💰 Prix matériaux'!$B$4)+IF(G139="",0,G139*'💰 Prix matériaux'!$B$5)+IF(H139="",0,H139*'💰 Prix matériaux'!$B$6)+IF(I139="",0,I139*'💰 Prix matériaux'!$B$7)+IF(J139="",0,J139*'💰 Prix matériaux'!$B$8)+IF(K139="",0,K139*'💰 Prix matériaux'!$B$9)+IF(L139="",0,L139*'💰 Prix matériaux'!$B$10)+IF(M139="",0,M139*'💰 Prix matériaux'!$B$11)+IF(N139="",0,N139*'💰 Prix matériaux'!$B$12)+IF(O139="",0,O139*'💰 Prix matériaux'!$B$13)+IF(P139="",0,P139*'💰 Prix matériaux'!$B$15)+IF(Q139="",0,Q139*'💰 Prix matériaux'!$B$16)</f>
        <v>30</v>
      </c>
      <c r="S139" s="39">
        <f t="shared" si="24"/>
        <v>70</v>
      </c>
    </row>
    <row r="140" ht="15.75" customHeight="1">
      <c r="A140" s="101" t="s">
        <v>148</v>
      </c>
      <c r="B140" s="102" t="s">
        <v>87</v>
      </c>
      <c r="C140" s="36" t="s">
        <v>75</v>
      </c>
      <c r="D140" s="37">
        <v>40.0</v>
      </c>
      <c r="E140" s="37"/>
      <c r="F140" s="37"/>
      <c r="G140" s="37">
        <v>1.0</v>
      </c>
      <c r="H140" s="37"/>
      <c r="I140" s="37"/>
      <c r="J140" s="37"/>
      <c r="K140" s="37"/>
      <c r="L140" s="37"/>
      <c r="M140" s="37">
        <v>1.0</v>
      </c>
      <c r="N140" s="37">
        <v>2.0</v>
      </c>
      <c r="O140" s="37"/>
      <c r="P140" s="37"/>
      <c r="Q140" s="37"/>
      <c r="R140" s="38">
        <f>IF(E140="",0,E140*'💰 Prix matériaux'!$B$3)+IF(F140="",0,F140*'💰 Prix matériaux'!$B$4)+IF(G140="",0,G140*'💰 Prix matériaux'!$B$5)+IF(H140="",0,H140*'💰 Prix matériaux'!$B$6)+IF(I140="",0,I140*'💰 Prix matériaux'!$B$7)+IF(J140="",0,J140*'💰 Prix matériaux'!$B$8)+IF(K140="",0,K140*'💰 Prix matériaux'!$B$9)+IF(L140="",0,L140*'💰 Prix matériaux'!$B$10)+IF(M140="",0,M140*'💰 Prix matériaux'!$B$11)+IF(N140="",0,N140*'💰 Prix matériaux'!$B$12)+IF(O140="",0,O140*'💰 Prix matériaux'!$B$13)+IF(P140="",0,P140*'💰 Prix matériaux'!$B$15)+IF(Q140="",0,Q140*'💰 Prix matériaux'!$B$16)</f>
        <v>26</v>
      </c>
      <c r="S140" s="39">
        <f t="shared" si="24"/>
        <v>66</v>
      </c>
    </row>
    <row r="141" ht="15.75" customHeight="1">
      <c r="A141" s="101" t="s">
        <v>148</v>
      </c>
      <c r="B141" s="102" t="s">
        <v>86</v>
      </c>
      <c r="C141" s="36" t="s">
        <v>75</v>
      </c>
      <c r="D141" s="37">
        <v>40.0</v>
      </c>
      <c r="E141" s="37"/>
      <c r="F141" s="37"/>
      <c r="G141" s="37">
        <v>1.0</v>
      </c>
      <c r="H141" s="37"/>
      <c r="I141" s="37"/>
      <c r="J141" s="37"/>
      <c r="K141" s="37"/>
      <c r="L141" s="37"/>
      <c r="M141" s="37">
        <v>2.0</v>
      </c>
      <c r="N141" s="37">
        <v>1.0</v>
      </c>
      <c r="O141" s="37"/>
      <c r="P141" s="37"/>
      <c r="Q141" s="37"/>
      <c r="R141" s="38">
        <f>IF(E141="",0,E141*'💰 Prix matériaux'!$B$3)+IF(F141="",0,F141*'💰 Prix matériaux'!$B$4)+IF(G141="",0,G141*'💰 Prix matériaux'!$B$5)+IF(H141="",0,H141*'💰 Prix matériaux'!$B$6)+IF(I141="",0,I141*'💰 Prix matériaux'!$B$7)+IF(J141="",0,J141*'💰 Prix matériaux'!$B$8)+IF(K141="",0,K141*'💰 Prix matériaux'!$B$9)+IF(L141="",0,L141*'💰 Prix matériaux'!$B$10)+IF(M141="",0,M141*'💰 Prix matériaux'!$B$11)+IF(N141="",0,N141*'💰 Prix matériaux'!$B$12)+IF(O141="",0,O141*'💰 Prix matériaux'!$B$13)+IF(P141="",0,P141*'💰 Prix matériaux'!$B$15)+IF(Q141="",0,Q141*'💰 Prix matériaux'!$B$16)</f>
        <v>29</v>
      </c>
      <c r="S141" s="39">
        <f t="shared" si="24"/>
        <v>69</v>
      </c>
    </row>
    <row r="142" ht="18.0" customHeight="1">
      <c r="A142" s="33" t="s">
        <v>149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1"/>
    </row>
    <row r="143" ht="15.75" customHeight="1">
      <c r="A143" s="103" t="s">
        <v>150</v>
      </c>
      <c r="B143" s="104" t="s">
        <v>84</v>
      </c>
      <c r="C143" s="36" t="s">
        <v>75</v>
      </c>
      <c r="D143" s="37">
        <v>40.0</v>
      </c>
      <c r="E143" s="37">
        <v>1.0</v>
      </c>
      <c r="F143" s="37"/>
      <c r="G143" s="37">
        <v>1.0</v>
      </c>
      <c r="H143" s="37"/>
      <c r="I143" s="37"/>
      <c r="J143" s="37"/>
      <c r="K143" s="37"/>
      <c r="L143" s="37"/>
      <c r="M143" s="37">
        <v>4.0</v>
      </c>
      <c r="N143" s="37">
        <v>3.0</v>
      </c>
      <c r="O143" s="37"/>
      <c r="P143" s="37"/>
      <c r="Q143" s="37"/>
      <c r="R143" s="38">
        <f>IF(E143="",0,E143*'💰 Prix matériaux'!$B$3)+IF(F143="",0,F143*'💰 Prix matériaux'!$B$4)+IF(G143="",0,G143*'💰 Prix matériaux'!$B$5)+IF(H143="",0,H143*'💰 Prix matériaux'!$B$6)+IF(I143="",0,I143*'💰 Prix matériaux'!$B$7)+IF(J143="",0,J143*'💰 Prix matériaux'!$B$8)+IF(K143="",0,K143*'💰 Prix matériaux'!$B$9)+IF(L143="",0,L143*'💰 Prix matériaux'!$B$10)+IF(M143="",0,M143*'💰 Prix matériaux'!$B$11)+IF(N143="",0,N143*'💰 Prix matériaux'!$B$12)+IF(O143="",0,O143*'💰 Prix matériaux'!$B$13)+IF(P143="",0,P143*'💰 Prix matériaux'!$B$15)+IF(Q143="",0,Q143*'💰 Prix matériaux'!$B$16)</f>
        <v>43</v>
      </c>
      <c r="S143" s="39">
        <f>D143+R143</f>
        <v>83</v>
      </c>
    </row>
    <row r="144" ht="18.0" customHeight="1">
      <c r="A144" s="33" t="s">
        <v>151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1"/>
    </row>
    <row r="145" ht="15.75" customHeight="1">
      <c r="A145" s="105" t="s">
        <v>152</v>
      </c>
      <c r="B145" s="106" t="s">
        <v>153</v>
      </c>
      <c r="C145" s="42" t="s">
        <v>81</v>
      </c>
      <c r="D145" s="92">
        <v>100.0</v>
      </c>
      <c r="E145" s="37"/>
      <c r="F145" s="37"/>
      <c r="G145" s="37"/>
      <c r="H145" s="37"/>
      <c r="I145" s="37"/>
      <c r="J145" s="37"/>
      <c r="K145" s="37"/>
      <c r="L145" s="37"/>
      <c r="M145" s="37"/>
      <c r="N145" s="37">
        <v>3.0</v>
      </c>
      <c r="O145" s="37"/>
      <c r="P145" s="37"/>
      <c r="Q145" s="37">
        <v>5.0</v>
      </c>
      <c r="R145" s="38">
        <f>IF(E145="",0,E145*'💰 Prix matériaux'!$B$3)+IF(F145="",0,F145*'💰 Prix matériaux'!$B$4)+IF(G145="",0,G145*'💰 Prix matériaux'!$B$5)+IF(H145="",0,H145*'💰 Prix matériaux'!$B$6)+IF(I145="",0,I145*'💰 Prix matériaux'!$B$7)+IF(J145="",0,J145*'💰 Prix matériaux'!$B$8)+IF(K145="",0,K145*'💰 Prix matériaux'!$B$9)+IF(L145="",0,L145*'💰 Prix matériaux'!$B$10)+IF(M145="",0,M145*'💰 Prix matériaux'!$B$11)+IF(N145="",0,N145*'💰 Prix matériaux'!$B$12)+IF(O145="",0,O145*'💰 Prix matériaux'!$B$13)+IF(P145="",0,P145*'💰 Prix matériaux'!$B$15)+IF(Q145="",0,Q145*'💰 Prix matériaux'!$B$16)</f>
        <v>403</v>
      </c>
      <c r="S145" s="39">
        <f t="shared" ref="S145:S164" si="25">D145+R145</f>
        <v>503</v>
      </c>
    </row>
    <row r="146" ht="15.75" customHeight="1">
      <c r="A146" s="105" t="s">
        <v>152</v>
      </c>
      <c r="B146" s="106" t="s">
        <v>154</v>
      </c>
      <c r="C146" s="42" t="s">
        <v>81</v>
      </c>
      <c r="D146" s="92">
        <v>100.0</v>
      </c>
      <c r="E146" s="37"/>
      <c r="F146" s="37"/>
      <c r="G146" s="37"/>
      <c r="H146" s="37"/>
      <c r="I146" s="37"/>
      <c r="J146" s="37"/>
      <c r="K146" s="37"/>
      <c r="L146" s="37"/>
      <c r="M146" s="37"/>
      <c r="N146" s="37">
        <v>3.0</v>
      </c>
      <c r="O146" s="37"/>
      <c r="P146" s="37"/>
      <c r="Q146" s="37">
        <v>5.0</v>
      </c>
      <c r="R146" s="38">
        <f>IF(E146="",0,E146*'💰 Prix matériaux'!$B$3)+IF(F146="",0,F146*'💰 Prix matériaux'!$B$4)+IF(G146="",0,G146*'💰 Prix matériaux'!$B$5)+IF(H146="",0,H146*'💰 Prix matériaux'!$B$6)+IF(I146="",0,I146*'💰 Prix matériaux'!$B$7)+IF(J146="",0,J146*'💰 Prix matériaux'!$B$8)+IF(K146="",0,K146*'💰 Prix matériaux'!$B$9)+IF(L146="",0,L146*'💰 Prix matériaux'!$B$10)+IF(M146="",0,M146*'💰 Prix matériaux'!$B$11)+IF(N146="",0,N146*'💰 Prix matériaux'!$B$12)+IF(O146="",0,O146*'💰 Prix matériaux'!$B$13)+IF(P146="",0,P146*'💰 Prix matériaux'!$B$15)+IF(Q146="",0,Q146*'💰 Prix matériaux'!$B$16)</f>
        <v>403</v>
      </c>
      <c r="S146" s="39">
        <f t="shared" si="25"/>
        <v>503</v>
      </c>
    </row>
    <row r="147" ht="15.75" customHeight="1">
      <c r="A147" s="105" t="s">
        <v>152</v>
      </c>
      <c r="B147" s="106" t="s">
        <v>155</v>
      </c>
      <c r="C147" s="42" t="s">
        <v>81</v>
      </c>
      <c r="D147" s="92">
        <v>100.0</v>
      </c>
      <c r="E147" s="37"/>
      <c r="F147" s="37"/>
      <c r="G147" s="37"/>
      <c r="H147" s="37"/>
      <c r="I147" s="37"/>
      <c r="J147" s="37"/>
      <c r="K147" s="37"/>
      <c r="L147" s="37"/>
      <c r="M147" s="37"/>
      <c r="N147" s="37">
        <v>3.0</v>
      </c>
      <c r="O147" s="37">
        <v>1.0</v>
      </c>
      <c r="P147" s="37"/>
      <c r="Q147" s="37">
        <v>5.0</v>
      </c>
      <c r="R147" s="38">
        <f>IF(E147="",0,E147*'💰 Prix matériaux'!$B$3)+IF(F147="",0,F147*'💰 Prix matériaux'!$B$4)+IF(G147="",0,G147*'💰 Prix matériaux'!$B$5)+IF(H147="",0,H147*'💰 Prix matériaux'!$B$6)+IF(I147="",0,I147*'💰 Prix matériaux'!$B$7)+IF(J147="",0,J147*'💰 Prix matériaux'!$B$8)+IF(K147="",0,K147*'💰 Prix matériaux'!$B$9)+IF(L147="",0,L147*'💰 Prix matériaux'!$B$10)+IF(M147="",0,M147*'💰 Prix matériaux'!$B$11)+IF(N147="",0,N147*'💰 Prix matériaux'!$B$12)+IF(O147="",0,O147*'💰 Prix matériaux'!$B$13)+IF(P147="",0,P147*'💰 Prix matériaux'!$B$15)+IF(Q147="",0,Q147*'💰 Prix matériaux'!$B$16)</f>
        <v>403</v>
      </c>
      <c r="S147" s="39">
        <f t="shared" si="25"/>
        <v>503</v>
      </c>
    </row>
    <row r="148" ht="15.75" customHeight="1">
      <c r="A148" s="105" t="s">
        <v>152</v>
      </c>
      <c r="B148" s="106" t="s">
        <v>156</v>
      </c>
      <c r="C148" s="42" t="s">
        <v>81</v>
      </c>
      <c r="D148" s="92">
        <v>100.0</v>
      </c>
      <c r="E148" s="37"/>
      <c r="F148" s="37"/>
      <c r="G148" s="37"/>
      <c r="H148" s="37"/>
      <c r="I148" s="37"/>
      <c r="J148" s="37"/>
      <c r="K148" s="37"/>
      <c r="L148" s="37"/>
      <c r="M148" s="37"/>
      <c r="N148" s="37">
        <v>3.0</v>
      </c>
      <c r="O148" s="37">
        <v>1.0</v>
      </c>
      <c r="P148" s="37"/>
      <c r="Q148" s="37">
        <v>5.0</v>
      </c>
      <c r="R148" s="38">
        <f>IF(E148="",0,E148*'💰 Prix matériaux'!$B$3)+IF(F148="",0,F148*'💰 Prix matériaux'!$B$4)+IF(G148="",0,G148*'💰 Prix matériaux'!$B$5)+IF(H148="",0,H148*'💰 Prix matériaux'!$B$6)+IF(I148="",0,I148*'💰 Prix matériaux'!$B$7)+IF(J148="",0,J148*'💰 Prix matériaux'!$B$8)+IF(K148="",0,K148*'💰 Prix matériaux'!$B$9)+IF(L148="",0,L148*'💰 Prix matériaux'!$B$10)+IF(M148="",0,M148*'💰 Prix matériaux'!$B$11)+IF(N148="",0,N148*'💰 Prix matériaux'!$B$12)+IF(O148="",0,O148*'💰 Prix matériaux'!$B$13)+IF(P148="",0,P148*'💰 Prix matériaux'!$B$15)+IF(Q148="",0,Q148*'💰 Prix matériaux'!$B$16)</f>
        <v>403</v>
      </c>
      <c r="S148" s="39">
        <f t="shared" si="25"/>
        <v>503</v>
      </c>
    </row>
    <row r="149" ht="15.75" customHeight="1">
      <c r="A149" s="105" t="s">
        <v>152</v>
      </c>
      <c r="B149" s="106" t="s">
        <v>157</v>
      </c>
      <c r="C149" s="42" t="s">
        <v>81</v>
      </c>
      <c r="D149" s="92">
        <v>100.0</v>
      </c>
      <c r="E149" s="37"/>
      <c r="F149" s="37"/>
      <c r="G149" s="37"/>
      <c r="H149" s="37"/>
      <c r="I149" s="37"/>
      <c r="J149" s="37"/>
      <c r="K149" s="37"/>
      <c r="L149" s="37"/>
      <c r="M149" s="37"/>
      <c r="N149" s="37">
        <v>2.0</v>
      </c>
      <c r="O149" s="37"/>
      <c r="P149" s="37"/>
      <c r="Q149" s="37">
        <v>3.0</v>
      </c>
      <c r="R149" s="38">
        <f>IF(E149="",0,E149*'💰 Prix matériaux'!$B$3)+IF(F149="",0,F149*'💰 Prix matériaux'!$B$4)+IF(G149="",0,G149*'💰 Prix matériaux'!$B$5)+IF(H149="",0,H149*'💰 Prix matériaux'!$B$6)+IF(I149="",0,I149*'💰 Prix matériaux'!$B$7)+IF(J149="",0,J149*'💰 Prix matériaux'!$B$8)+IF(K149="",0,K149*'💰 Prix matériaux'!$B$9)+IF(L149="",0,L149*'💰 Prix matériaux'!$B$10)+IF(M149="",0,M149*'💰 Prix matériaux'!$B$11)+IF(N149="",0,N149*'💰 Prix matériaux'!$B$12)+IF(O149="",0,O149*'💰 Prix matériaux'!$B$13)+IF(P149="",0,P149*'💰 Prix matériaux'!$B$15)+IF(Q149="",0,Q149*'💰 Prix matériaux'!$B$16)</f>
        <v>242</v>
      </c>
      <c r="S149" s="39">
        <f t="shared" si="25"/>
        <v>342</v>
      </c>
    </row>
    <row r="150" ht="15.75" customHeight="1">
      <c r="A150" s="105" t="s">
        <v>152</v>
      </c>
      <c r="B150" s="106" t="s">
        <v>158</v>
      </c>
      <c r="C150" s="42" t="s">
        <v>81</v>
      </c>
      <c r="D150" s="92">
        <v>100.0</v>
      </c>
      <c r="E150" s="37"/>
      <c r="F150" s="37"/>
      <c r="G150" s="37"/>
      <c r="H150" s="37"/>
      <c r="I150" s="37"/>
      <c r="J150" s="37"/>
      <c r="K150" s="37"/>
      <c r="L150" s="37"/>
      <c r="M150" s="37"/>
      <c r="N150" s="37">
        <v>2.0</v>
      </c>
      <c r="O150" s="37"/>
      <c r="P150" s="37"/>
      <c r="Q150" s="37">
        <v>3.0</v>
      </c>
      <c r="R150" s="38">
        <f>IF(E150="",0,E150*'💰 Prix matériaux'!$B$3)+IF(F150="",0,F150*'💰 Prix matériaux'!$B$4)+IF(G150="",0,G150*'💰 Prix matériaux'!$B$5)+IF(H150="",0,H150*'💰 Prix matériaux'!$B$6)+IF(I150="",0,I150*'💰 Prix matériaux'!$B$7)+IF(J150="",0,J150*'💰 Prix matériaux'!$B$8)+IF(K150="",0,K150*'💰 Prix matériaux'!$B$9)+IF(L150="",0,L150*'💰 Prix matériaux'!$B$10)+IF(M150="",0,M150*'💰 Prix matériaux'!$B$11)+IF(N150="",0,N150*'💰 Prix matériaux'!$B$12)+IF(O150="",0,O150*'💰 Prix matériaux'!$B$13)+IF(P150="",0,P150*'💰 Prix matériaux'!$B$15)+IF(Q150="",0,Q150*'💰 Prix matériaux'!$B$16)</f>
        <v>242</v>
      </c>
      <c r="S150" s="39">
        <f t="shared" si="25"/>
        <v>342</v>
      </c>
    </row>
    <row r="151" ht="15.75" customHeight="1">
      <c r="A151" s="105" t="s">
        <v>152</v>
      </c>
      <c r="B151" s="106" t="s">
        <v>159</v>
      </c>
      <c r="C151" s="42" t="s">
        <v>81</v>
      </c>
      <c r="D151" s="92">
        <v>100.0</v>
      </c>
      <c r="E151" s="37"/>
      <c r="F151" s="37"/>
      <c r="G151" s="37"/>
      <c r="H151" s="37"/>
      <c r="I151" s="37"/>
      <c r="J151" s="37"/>
      <c r="K151" s="37"/>
      <c r="L151" s="37"/>
      <c r="M151" s="37"/>
      <c r="N151" s="37">
        <v>2.0</v>
      </c>
      <c r="O151" s="37">
        <v>1.0</v>
      </c>
      <c r="P151" s="37"/>
      <c r="Q151" s="37">
        <v>3.0</v>
      </c>
      <c r="R151" s="38">
        <f>IF(E151="",0,E151*'💰 Prix matériaux'!$B$3)+IF(F151="",0,F151*'💰 Prix matériaux'!$B$4)+IF(G151="",0,G151*'💰 Prix matériaux'!$B$5)+IF(H151="",0,H151*'💰 Prix matériaux'!$B$6)+IF(I151="",0,I151*'💰 Prix matériaux'!$B$7)+IF(J151="",0,J151*'💰 Prix matériaux'!$B$8)+IF(K151="",0,K151*'💰 Prix matériaux'!$B$9)+IF(L151="",0,L151*'💰 Prix matériaux'!$B$10)+IF(M151="",0,M151*'💰 Prix matériaux'!$B$11)+IF(N151="",0,N151*'💰 Prix matériaux'!$B$12)+IF(O151="",0,O151*'💰 Prix matériaux'!$B$13)+IF(P151="",0,P151*'💰 Prix matériaux'!$B$15)+IF(Q151="",0,Q151*'💰 Prix matériaux'!$B$16)</f>
        <v>242</v>
      </c>
      <c r="S151" s="39">
        <f t="shared" si="25"/>
        <v>342</v>
      </c>
    </row>
    <row r="152" ht="15.75" customHeight="1">
      <c r="A152" s="105" t="s">
        <v>152</v>
      </c>
      <c r="B152" s="106" t="s">
        <v>160</v>
      </c>
      <c r="C152" s="42" t="s">
        <v>81</v>
      </c>
      <c r="D152" s="92">
        <v>100.0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>
        <v>2.0</v>
      </c>
      <c r="O152" s="37">
        <v>1.0</v>
      </c>
      <c r="P152" s="37"/>
      <c r="Q152" s="37">
        <v>3.0</v>
      </c>
      <c r="R152" s="38">
        <f>IF(E152="",0,E152*'💰 Prix matériaux'!$B$3)+IF(F152="",0,F152*'💰 Prix matériaux'!$B$4)+IF(G152="",0,G152*'💰 Prix matériaux'!$B$5)+IF(H152="",0,H152*'💰 Prix matériaux'!$B$6)+IF(I152="",0,I152*'💰 Prix matériaux'!$B$7)+IF(J152="",0,J152*'💰 Prix matériaux'!$B$8)+IF(K152="",0,K152*'💰 Prix matériaux'!$B$9)+IF(L152="",0,L152*'💰 Prix matériaux'!$B$10)+IF(M152="",0,M152*'💰 Prix matériaux'!$B$11)+IF(N152="",0,N152*'💰 Prix matériaux'!$B$12)+IF(O152="",0,O152*'💰 Prix matériaux'!$B$13)+IF(P152="",0,P152*'💰 Prix matériaux'!$B$15)+IF(Q152="",0,Q152*'💰 Prix matériaux'!$B$16)</f>
        <v>242</v>
      </c>
      <c r="S152" s="39">
        <f t="shared" si="25"/>
        <v>342</v>
      </c>
    </row>
    <row r="153" ht="15.75" customHeight="1">
      <c r="A153" s="105" t="s">
        <v>152</v>
      </c>
      <c r="B153" s="106" t="s">
        <v>161</v>
      </c>
      <c r="C153" s="42" t="s">
        <v>81</v>
      </c>
      <c r="D153" s="92">
        <v>100.0</v>
      </c>
      <c r="E153" s="37"/>
      <c r="F153" s="37"/>
      <c r="G153" s="37"/>
      <c r="H153" s="37"/>
      <c r="I153" s="37"/>
      <c r="J153" s="37"/>
      <c r="K153" s="37"/>
      <c r="L153" s="37"/>
      <c r="M153" s="37"/>
      <c r="N153" s="37">
        <v>2.0</v>
      </c>
      <c r="O153" s="37"/>
      <c r="P153" s="37"/>
      <c r="Q153" s="37">
        <v>2.0</v>
      </c>
      <c r="R153" s="38">
        <f>IF(E153="",0,E153*'💰 Prix matériaux'!$B$3)+IF(F153="",0,F153*'💰 Prix matériaux'!$B$4)+IF(G153="",0,G153*'💰 Prix matériaux'!$B$5)+IF(H153="",0,H153*'💰 Prix matériaux'!$B$6)+IF(I153="",0,I153*'💰 Prix matériaux'!$B$7)+IF(J153="",0,J153*'💰 Prix matériaux'!$B$8)+IF(K153="",0,K153*'💰 Prix matériaux'!$B$9)+IF(L153="",0,L153*'💰 Prix matériaux'!$B$10)+IF(M153="",0,M153*'💰 Prix matériaux'!$B$11)+IF(N153="",0,N153*'💰 Prix matériaux'!$B$12)+IF(O153="",0,O153*'💰 Prix matériaux'!$B$13)+IF(P153="",0,P153*'💰 Prix matériaux'!$B$15)+IF(Q153="",0,Q153*'💰 Prix matériaux'!$B$16)</f>
        <v>162</v>
      </c>
      <c r="S153" s="39">
        <f t="shared" si="25"/>
        <v>262</v>
      </c>
    </row>
    <row r="154" ht="15.75" customHeight="1">
      <c r="A154" s="105" t="s">
        <v>152</v>
      </c>
      <c r="B154" s="106" t="s">
        <v>162</v>
      </c>
      <c r="C154" s="42" t="s">
        <v>81</v>
      </c>
      <c r="D154" s="92">
        <v>100.0</v>
      </c>
      <c r="E154" s="37"/>
      <c r="F154" s="37"/>
      <c r="G154" s="37"/>
      <c r="H154" s="37"/>
      <c r="I154" s="37"/>
      <c r="J154" s="37"/>
      <c r="K154" s="37"/>
      <c r="L154" s="37"/>
      <c r="M154" s="37"/>
      <c r="N154" s="37">
        <v>2.0</v>
      </c>
      <c r="O154" s="37"/>
      <c r="P154" s="37"/>
      <c r="Q154" s="37">
        <v>2.0</v>
      </c>
      <c r="R154" s="38">
        <f>IF(E154="",0,E154*'💰 Prix matériaux'!$B$3)+IF(F154="",0,F154*'💰 Prix matériaux'!$B$4)+IF(G154="",0,G154*'💰 Prix matériaux'!$B$5)+IF(H154="",0,H154*'💰 Prix matériaux'!$B$6)+IF(I154="",0,I154*'💰 Prix matériaux'!$B$7)+IF(J154="",0,J154*'💰 Prix matériaux'!$B$8)+IF(K154="",0,K154*'💰 Prix matériaux'!$B$9)+IF(L154="",0,L154*'💰 Prix matériaux'!$B$10)+IF(M154="",0,M154*'💰 Prix matériaux'!$B$11)+IF(N154="",0,N154*'💰 Prix matériaux'!$B$12)+IF(O154="",0,O154*'💰 Prix matériaux'!$B$13)+IF(P154="",0,P154*'💰 Prix matériaux'!$B$15)+IF(Q154="",0,Q154*'💰 Prix matériaux'!$B$16)</f>
        <v>162</v>
      </c>
      <c r="S154" s="39">
        <f t="shared" si="25"/>
        <v>262</v>
      </c>
    </row>
    <row r="155" ht="15.75" customHeight="1">
      <c r="A155" s="105" t="s">
        <v>152</v>
      </c>
      <c r="B155" s="106" t="s">
        <v>163</v>
      </c>
      <c r="C155" s="42" t="s">
        <v>81</v>
      </c>
      <c r="D155" s="92">
        <v>100.0</v>
      </c>
      <c r="E155" s="37"/>
      <c r="F155" s="37"/>
      <c r="G155" s="37"/>
      <c r="H155" s="37"/>
      <c r="I155" s="37"/>
      <c r="J155" s="37"/>
      <c r="K155" s="37"/>
      <c r="L155" s="37"/>
      <c r="M155" s="37"/>
      <c r="N155" s="37">
        <v>2.0</v>
      </c>
      <c r="O155" s="37">
        <v>1.0</v>
      </c>
      <c r="P155" s="37"/>
      <c r="Q155" s="37">
        <v>2.0</v>
      </c>
      <c r="R155" s="38">
        <f>IF(E155="",0,E155*'💰 Prix matériaux'!$B$3)+IF(F155="",0,F155*'💰 Prix matériaux'!$B$4)+IF(G155="",0,G155*'💰 Prix matériaux'!$B$5)+IF(H155="",0,H155*'💰 Prix matériaux'!$B$6)+IF(I155="",0,I155*'💰 Prix matériaux'!$B$7)+IF(J155="",0,J155*'💰 Prix matériaux'!$B$8)+IF(K155="",0,K155*'💰 Prix matériaux'!$B$9)+IF(L155="",0,L155*'💰 Prix matériaux'!$B$10)+IF(M155="",0,M155*'💰 Prix matériaux'!$B$11)+IF(N155="",0,N155*'💰 Prix matériaux'!$B$12)+IF(O155="",0,O155*'💰 Prix matériaux'!$B$13)+IF(P155="",0,P155*'💰 Prix matériaux'!$B$15)+IF(Q155="",0,Q155*'💰 Prix matériaux'!$B$16)</f>
        <v>162</v>
      </c>
      <c r="S155" s="39">
        <f t="shared" si="25"/>
        <v>262</v>
      </c>
    </row>
    <row r="156" ht="15.75" customHeight="1">
      <c r="A156" s="105" t="s">
        <v>152</v>
      </c>
      <c r="B156" s="106" t="s">
        <v>164</v>
      </c>
      <c r="C156" s="42" t="s">
        <v>81</v>
      </c>
      <c r="D156" s="92">
        <v>100.0</v>
      </c>
      <c r="E156" s="37"/>
      <c r="F156" s="37"/>
      <c r="G156" s="37"/>
      <c r="H156" s="37"/>
      <c r="I156" s="37"/>
      <c r="J156" s="37"/>
      <c r="K156" s="37"/>
      <c r="L156" s="37"/>
      <c r="M156" s="37"/>
      <c r="N156" s="37">
        <v>2.0</v>
      </c>
      <c r="O156" s="37">
        <v>1.0</v>
      </c>
      <c r="P156" s="37"/>
      <c r="Q156" s="37">
        <v>2.0</v>
      </c>
      <c r="R156" s="38">
        <f>IF(E156="",0,E156*'💰 Prix matériaux'!$B$3)+IF(F156="",0,F156*'💰 Prix matériaux'!$B$4)+IF(G156="",0,G156*'💰 Prix matériaux'!$B$5)+IF(H156="",0,H156*'💰 Prix matériaux'!$B$6)+IF(I156="",0,I156*'💰 Prix matériaux'!$B$7)+IF(J156="",0,J156*'💰 Prix matériaux'!$B$8)+IF(K156="",0,K156*'💰 Prix matériaux'!$B$9)+IF(L156="",0,L156*'💰 Prix matériaux'!$B$10)+IF(M156="",0,M156*'💰 Prix matériaux'!$B$11)+IF(N156="",0,N156*'💰 Prix matériaux'!$B$12)+IF(O156="",0,O156*'💰 Prix matériaux'!$B$13)+IF(P156="",0,P156*'💰 Prix matériaux'!$B$15)+IF(Q156="",0,Q156*'💰 Prix matériaux'!$B$16)</f>
        <v>162</v>
      </c>
      <c r="S156" s="39">
        <f t="shared" si="25"/>
        <v>262</v>
      </c>
    </row>
    <row r="157" ht="15.75" customHeight="1">
      <c r="A157" s="105" t="s">
        <v>152</v>
      </c>
      <c r="B157" s="106" t="s">
        <v>165</v>
      </c>
      <c r="C157" s="42" t="s">
        <v>81</v>
      </c>
      <c r="D157" s="92">
        <v>100.0</v>
      </c>
      <c r="E157" s="37"/>
      <c r="F157" s="37"/>
      <c r="G157" s="37"/>
      <c r="H157" s="37"/>
      <c r="I157" s="37"/>
      <c r="J157" s="37"/>
      <c r="K157" s="37"/>
      <c r="L157" s="37"/>
      <c r="M157" s="37"/>
      <c r="N157" s="37">
        <v>2.0</v>
      </c>
      <c r="O157" s="37"/>
      <c r="P157" s="37"/>
      <c r="Q157" s="37">
        <v>3.0</v>
      </c>
      <c r="R157" s="38">
        <f>IF(E157="",0,E157*'💰 Prix matériaux'!$B$3)+IF(F157="",0,F157*'💰 Prix matériaux'!$B$4)+IF(G157="",0,G157*'💰 Prix matériaux'!$B$5)+IF(H157="",0,H157*'💰 Prix matériaux'!$B$6)+IF(I157="",0,I157*'💰 Prix matériaux'!$B$7)+IF(J157="",0,J157*'💰 Prix matériaux'!$B$8)+IF(K157="",0,K157*'💰 Prix matériaux'!$B$9)+IF(L157="",0,L157*'💰 Prix matériaux'!$B$10)+IF(M157="",0,M157*'💰 Prix matériaux'!$B$11)+IF(N157="",0,N157*'💰 Prix matériaux'!$B$12)+IF(O157="",0,O157*'💰 Prix matériaux'!$B$13)+IF(P157="",0,P157*'💰 Prix matériaux'!$B$15)+IF(Q157="",0,Q157*'💰 Prix matériaux'!$B$16)</f>
        <v>242</v>
      </c>
      <c r="S157" s="39">
        <f t="shared" si="25"/>
        <v>342</v>
      </c>
    </row>
    <row r="158" ht="15.75" customHeight="1">
      <c r="A158" s="105" t="s">
        <v>152</v>
      </c>
      <c r="B158" s="106" t="s">
        <v>166</v>
      </c>
      <c r="C158" s="42" t="s">
        <v>81</v>
      </c>
      <c r="D158" s="92">
        <v>100.0</v>
      </c>
      <c r="E158" s="37"/>
      <c r="F158" s="37"/>
      <c r="G158" s="37"/>
      <c r="H158" s="37"/>
      <c r="I158" s="37"/>
      <c r="J158" s="37"/>
      <c r="K158" s="37"/>
      <c r="L158" s="37"/>
      <c r="M158" s="37"/>
      <c r="N158" s="37">
        <v>2.0</v>
      </c>
      <c r="O158" s="37"/>
      <c r="P158" s="37"/>
      <c r="Q158" s="37">
        <v>3.0</v>
      </c>
      <c r="R158" s="38">
        <f>IF(E158="",0,E158*'💰 Prix matériaux'!$B$3)+IF(F158="",0,F158*'💰 Prix matériaux'!$B$4)+IF(G158="",0,G158*'💰 Prix matériaux'!$B$5)+IF(H158="",0,H158*'💰 Prix matériaux'!$B$6)+IF(I158="",0,I158*'💰 Prix matériaux'!$B$7)+IF(J158="",0,J158*'💰 Prix matériaux'!$B$8)+IF(K158="",0,K158*'💰 Prix matériaux'!$B$9)+IF(L158="",0,L158*'💰 Prix matériaux'!$B$10)+IF(M158="",0,M158*'💰 Prix matériaux'!$B$11)+IF(N158="",0,N158*'💰 Prix matériaux'!$B$12)+IF(O158="",0,O158*'💰 Prix matériaux'!$B$13)+IF(P158="",0,P158*'💰 Prix matériaux'!$B$15)+IF(Q158="",0,Q158*'💰 Prix matériaux'!$B$16)</f>
        <v>242</v>
      </c>
      <c r="S158" s="39">
        <f t="shared" si="25"/>
        <v>342</v>
      </c>
    </row>
    <row r="159" ht="15.75" customHeight="1">
      <c r="A159" s="105" t="s">
        <v>152</v>
      </c>
      <c r="B159" s="106" t="s">
        <v>167</v>
      </c>
      <c r="C159" s="42" t="s">
        <v>81</v>
      </c>
      <c r="D159" s="92">
        <v>100.0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>
        <v>2.0</v>
      </c>
      <c r="O159" s="37">
        <v>1.0</v>
      </c>
      <c r="P159" s="37"/>
      <c r="Q159" s="37">
        <v>3.0</v>
      </c>
      <c r="R159" s="38">
        <f>IF(E159="",0,E159*'💰 Prix matériaux'!$B$3)+IF(F159="",0,F159*'💰 Prix matériaux'!$B$4)+IF(G159="",0,G159*'💰 Prix matériaux'!$B$5)+IF(H159="",0,H159*'💰 Prix matériaux'!$B$6)+IF(I159="",0,I159*'💰 Prix matériaux'!$B$7)+IF(J159="",0,J159*'💰 Prix matériaux'!$B$8)+IF(K159="",0,K159*'💰 Prix matériaux'!$B$9)+IF(L159="",0,L159*'💰 Prix matériaux'!$B$10)+IF(M159="",0,M159*'💰 Prix matériaux'!$B$11)+IF(N159="",0,N159*'💰 Prix matériaux'!$B$12)+IF(O159="",0,O159*'💰 Prix matériaux'!$B$13)+IF(P159="",0,P159*'💰 Prix matériaux'!$B$15)+IF(Q159="",0,Q159*'💰 Prix matériaux'!$B$16)</f>
        <v>242</v>
      </c>
      <c r="S159" s="39">
        <f t="shared" si="25"/>
        <v>342</v>
      </c>
    </row>
    <row r="160" ht="15.75" customHeight="1">
      <c r="A160" s="105" t="s">
        <v>152</v>
      </c>
      <c r="B160" s="106" t="s">
        <v>168</v>
      </c>
      <c r="C160" s="42" t="s">
        <v>81</v>
      </c>
      <c r="D160" s="92">
        <v>100.0</v>
      </c>
      <c r="E160" s="37"/>
      <c r="F160" s="37"/>
      <c r="G160" s="37"/>
      <c r="H160" s="37"/>
      <c r="I160" s="37"/>
      <c r="J160" s="37"/>
      <c r="K160" s="37"/>
      <c r="L160" s="37"/>
      <c r="M160" s="37"/>
      <c r="N160" s="37">
        <v>2.0</v>
      </c>
      <c r="O160" s="37">
        <v>1.0</v>
      </c>
      <c r="P160" s="37"/>
      <c r="Q160" s="37">
        <v>3.0</v>
      </c>
      <c r="R160" s="38">
        <f>IF(E160="",0,E160*'💰 Prix matériaux'!$B$3)+IF(F160="",0,F160*'💰 Prix matériaux'!$B$4)+IF(G160="",0,G160*'💰 Prix matériaux'!$B$5)+IF(H160="",0,H160*'💰 Prix matériaux'!$B$6)+IF(I160="",0,I160*'💰 Prix matériaux'!$B$7)+IF(J160="",0,J160*'💰 Prix matériaux'!$B$8)+IF(K160="",0,K160*'💰 Prix matériaux'!$B$9)+IF(L160="",0,L160*'💰 Prix matériaux'!$B$10)+IF(M160="",0,M160*'💰 Prix matériaux'!$B$11)+IF(N160="",0,N160*'💰 Prix matériaux'!$B$12)+IF(O160="",0,O160*'💰 Prix matériaux'!$B$13)+IF(P160="",0,P160*'💰 Prix matériaux'!$B$15)+IF(Q160="",0,Q160*'💰 Prix matériaux'!$B$16)</f>
        <v>242</v>
      </c>
      <c r="S160" s="39">
        <f t="shared" si="25"/>
        <v>342</v>
      </c>
    </row>
    <row r="161" ht="15.75" customHeight="1">
      <c r="A161" s="105" t="s">
        <v>152</v>
      </c>
      <c r="B161" s="106" t="s">
        <v>169</v>
      </c>
      <c r="C161" s="42" t="s">
        <v>81</v>
      </c>
      <c r="D161" s="92">
        <v>100.0</v>
      </c>
      <c r="E161" s="37"/>
      <c r="F161" s="37"/>
      <c r="G161" s="37"/>
      <c r="H161" s="37"/>
      <c r="I161" s="37"/>
      <c r="J161" s="37"/>
      <c r="K161" s="37"/>
      <c r="L161" s="37"/>
      <c r="M161" s="37"/>
      <c r="N161" s="37">
        <v>1.0</v>
      </c>
      <c r="O161" s="37"/>
      <c r="P161" s="37"/>
      <c r="Q161" s="37">
        <v>4.0</v>
      </c>
      <c r="R161" s="38">
        <f>IF(E161="",0,E161*'💰 Prix matériaux'!$B$3)+IF(F161="",0,F161*'💰 Prix matériaux'!$B$4)+IF(G161="",0,G161*'💰 Prix matériaux'!$B$5)+IF(H161="",0,H161*'💰 Prix matériaux'!$B$6)+IF(I161="",0,I161*'💰 Prix matériaux'!$B$7)+IF(J161="",0,J161*'💰 Prix matériaux'!$B$8)+IF(K161="",0,K161*'💰 Prix matériaux'!$B$9)+IF(L161="",0,L161*'💰 Prix matériaux'!$B$10)+IF(M161="",0,M161*'💰 Prix matériaux'!$B$11)+IF(N161="",0,N161*'💰 Prix matériaux'!$B$12)+IF(O161="",0,O161*'💰 Prix matériaux'!$B$13)+IF(P161="",0,P161*'💰 Prix matériaux'!$B$15)+IF(Q161="",0,Q161*'💰 Prix matériaux'!$B$16)</f>
        <v>321</v>
      </c>
      <c r="S161" s="39">
        <f t="shared" si="25"/>
        <v>421</v>
      </c>
    </row>
    <row r="162" ht="15.75" customHeight="1">
      <c r="A162" s="105" t="s">
        <v>152</v>
      </c>
      <c r="B162" s="106" t="s">
        <v>170</v>
      </c>
      <c r="C162" s="42" t="s">
        <v>81</v>
      </c>
      <c r="D162" s="92">
        <v>100.0</v>
      </c>
      <c r="E162" s="37"/>
      <c r="F162" s="37"/>
      <c r="G162" s="37"/>
      <c r="H162" s="37"/>
      <c r="I162" s="37"/>
      <c r="J162" s="37"/>
      <c r="K162" s="37"/>
      <c r="L162" s="37"/>
      <c r="M162" s="37"/>
      <c r="N162" s="37">
        <v>1.0</v>
      </c>
      <c r="O162" s="37"/>
      <c r="P162" s="37"/>
      <c r="Q162" s="37">
        <v>4.0</v>
      </c>
      <c r="R162" s="38">
        <f>IF(E162="",0,E162*'💰 Prix matériaux'!$B$3)+IF(F162="",0,F162*'💰 Prix matériaux'!$B$4)+IF(G162="",0,G162*'💰 Prix matériaux'!$B$5)+IF(H162="",0,H162*'💰 Prix matériaux'!$B$6)+IF(I162="",0,I162*'💰 Prix matériaux'!$B$7)+IF(J162="",0,J162*'💰 Prix matériaux'!$B$8)+IF(K162="",0,K162*'💰 Prix matériaux'!$B$9)+IF(L162="",0,L162*'💰 Prix matériaux'!$B$10)+IF(M162="",0,M162*'💰 Prix matériaux'!$B$11)+IF(N162="",0,N162*'💰 Prix matériaux'!$B$12)+IF(O162="",0,O162*'💰 Prix matériaux'!$B$13)+IF(P162="",0,P162*'💰 Prix matériaux'!$B$15)+IF(Q162="",0,Q162*'💰 Prix matériaux'!$B$16)</f>
        <v>321</v>
      </c>
      <c r="S162" s="39">
        <f t="shared" si="25"/>
        <v>421</v>
      </c>
    </row>
    <row r="163" ht="15.75" customHeight="1">
      <c r="A163" s="105" t="s">
        <v>152</v>
      </c>
      <c r="B163" s="106" t="s">
        <v>171</v>
      </c>
      <c r="C163" s="42" t="s">
        <v>81</v>
      </c>
      <c r="D163" s="92">
        <v>100.0</v>
      </c>
      <c r="E163" s="37"/>
      <c r="F163" s="37"/>
      <c r="G163" s="37"/>
      <c r="H163" s="37"/>
      <c r="I163" s="37"/>
      <c r="J163" s="37"/>
      <c r="K163" s="37"/>
      <c r="L163" s="37"/>
      <c r="M163" s="37"/>
      <c r="N163" s="37">
        <v>1.0</v>
      </c>
      <c r="O163" s="37">
        <v>1.0</v>
      </c>
      <c r="P163" s="37"/>
      <c r="Q163" s="37">
        <v>4.0</v>
      </c>
      <c r="R163" s="38">
        <f>IF(E163="",0,E163*'💰 Prix matériaux'!$B$3)+IF(F163="",0,F163*'💰 Prix matériaux'!$B$4)+IF(G163="",0,G163*'💰 Prix matériaux'!$B$5)+IF(H163="",0,H163*'💰 Prix matériaux'!$B$6)+IF(I163="",0,I163*'💰 Prix matériaux'!$B$7)+IF(J163="",0,J163*'💰 Prix matériaux'!$B$8)+IF(K163="",0,K163*'💰 Prix matériaux'!$B$9)+IF(L163="",0,L163*'💰 Prix matériaux'!$B$10)+IF(M163="",0,M163*'💰 Prix matériaux'!$B$11)+IF(N163="",0,N163*'💰 Prix matériaux'!$B$12)+IF(O163="",0,O163*'💰 Prix matériaux'!$B$13)+IF(P163="",0,P163*'💰 Prix matériaux'!$B$15)+IF(Q163="",0,Q163*'💰 Prix matériaux'!$B$16)</f>
        <v>321</v>
      </c>
      <c r="S163" s="39">
        <f t="shared" si="25"/>
        <v>421</v>
      </c>
    </row>
    <row r="164" ht="15.75" customHeight="1">
      <c r="A164" s="105" t="s">
        <v>152</v>
      </c>
      <c r="B164" s="106" t="s">
        <v>172</v>
      </c>
      <c r="C164" s="42" t="s">
        <v>81</v>
      </c>
      <c r="D164" s="92">
        <v>100.0</v>
      </c>
      <c r="E164" s="37"/>
      <c r="F164" s="37"/>
      <c r="G164" s="37"/>
      <c r="H164" s="37"/>
      <c r="I164" s="37"/>
      <c r="J164" s="37"/>
      <c r="K164" s="37"/>
      <c r="L164" s="37"/>
      <c r="M164" s="37"/>
      <c r="N164" s="37">
        <v>1.0</v>
      </c>
      <c r="O164" s="37">
        <v>1.0</v>
      </c>
      <c r="P164" s="37"/>
      <c r="Q164" s="37">
        <v>4.0</v>
      </c>
      <c r="R164" s="38">
        <f>IF(E164="",0,E164*'💰 Prix matériaux'!$B$3)+IF(F164="",0,F164*'💰 Prix matériaux'!$B$4)+IF(G164="",0,G164*'💰 Prix matériaux'!$B$5)+IF(H164="",0,H164*'💰 Prix matériaux'!$B$6)+IF(I164="",0,I164*'💰 Prix matériaux'!$B$7)+IF(J164="",0,J164*'💰 Prix matériaux'!$B$8)+IF(K164="",0,K164*'💰 Prix matériaux'!$B$9)+IF(L164="",0,L164*'💰 Prix matériaux'!$B$10)+IF(M164="",0,M164*'💰 Prix matériaux'!$B$11)+IF(N164="",0,N164*'💰 Prix matériaux'!$B$12)+IF(O164="",0,O164*'💰 Prix matériaux'!$B$13)+IF(P164="",0,P164*'💰 Prix matériaux'!$B$15)+IF(Q164="",0,Q164*'💰 Prix matériaux'!$B$16)</f>
        <v>321</v>
      </c>
      <c r="S164" s="39">
        <f t="shared" si="25"/>
        <v>421</v>
      </c>
    </row>
    <row r="165" ht="18.0" customHeight="1">
      <c r="A165" s="33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1"/>
    </row>
    <row r="166" ht="15.75" customHeight="1">
      <c r="A166" s="107" t="s">
        <v>173</v>
      </c>
      <c r="B166" s="108" t="s">
        <v>174</v>
      </c>
      <c r="C166" s="36" t="s">
        <v>75</v>
      </c>
      <c r="D166" s="37">
        <v>80.0</v>
      </c>
      <c r="E166" s="37"/>
      <c r="F166" s="37"/>
      <c r="G166" s="37"/>
      <c r="H166" s="37"/>
      <c r="I166" s="37"/>
      <c r="J166" s="37">
        <v>2.0</v>
      </c>
      <c r="K166" s="37"/>
      <c r="L166" s="37"/>
      <c r="M166" s="37">
        <v>1.0</v>
      </c>
      <c r="N166" s="37">
        <v>3.0</v>
      </c>
      <c r="O166" s="37"/>
      <c r="P166" s="37">
        <v>4.0</v>
      </c>
      <c r="Q166" s="37"/>
      <c r="R166" s="38">
        <f>IF(E166="",0,E166*'💰 Prix matériaux'!$B$3)+IF(F166="",0,F166*'💰 Prix matériaux'!$B$4)+IF(G166="",0,G166*'💰 Prix matériaux'!$B$5)+IF(H166="",0,H166*'💰 Prix matériaux'!$B$6)+IF(I166="",0,I166*'💰 Prix matériaux'!$B$7)+IF(J166="",0,J166*'💰 Prix matériaux'!$B$8)+IF(K166="",0,K166*'💰 Prix matériaux'!$B$9)+IF(L166="",0,L166*'💰 Prix matériaux'!$B$10)+IF(M166="",0,M166*'💰 Prix matériaux'!$B$11)+IF(N166="",0,N166*'💰 Prix matériaux'!$B$12)+IF(O166="",0,O166*'💰 Prix matériaux'!$B$13)+IF(P166="",0,P166*'💰 Prix matériaux'!$B$15)+IF(Q166="",0,Q166*'💰 Prix matériaux'!$B$16)</f>
        <v>375</v>
      </c>
      <c r="S166" s="39">
        <f t="shared" ref="S166:S170" si="26">D166+R166</f>
        <v>455</v>
      </c>
    </row>
    <row r="167" ht="15.75" customHeight="1">
      <c r="A167" s="107" t="s">
        <v>173</v>
      </c>
      <c r="B167" s="108" t="s">
        <v>175</v>
      </c>
      <c r="C167" s="36" t="s">
        <v>75</v>
      </c>
      <c r="D167" s="37">
        <v>80.0</v>
      </c>
      <c r="E167" s="37"/>
      <c r="F167" s="37"/>
      <c r="G167" s="37"/>
      <c r="H167" s="37"/>
      <c r="I167" s="37"/>
      <c r="J167" s="37">
        <v>1.0</v>
      </c>
      <c r="K167" s="37"/>
      <c r="L167" s="37"/>
      <c r="M167" s="37">
        <v>1.0</v>
      </c>
      <c r="N167" s="37">
        <v>1.0</v>
      </c>
      <c r="O167" s="37"/>
      <c r="P167" s="37">
        <v>2.0</v>
      </c>
      <c r="Q167" s="37"/>
      <c r="R167" s="38">
        <f>IF(E167="",0,E167*'💰 Prix matériaux'!$B$3)+IF(F167="",0,F167*'💰 Prix matériaux'!$B$4)+IF(G167="",0,G167*'💰 Prix matériaux'!$B$5)+IF(H167="",0,H167*'💰 Prix matériaux'!$B$6)+IF(I167="",0,I167*'💰 Prix matériaux'!$B$7)+IF(J167="",0,J167*'💰 Prix matériaux'!$B$8)+IF(K167="",0,K167*'💰 Prix matériaux'!$B$9)+IF(L167="",0,L167*'💰 Prix matériaux'!$B$10)+IF(M167="",0,M167*'💰 Prix matériaux'!$B$11)+IF(N167="",0,N167*'💰 Prix matériaux'!$B$12)+IF(O167="",0,O167*'💰 Prix matériaux'!$B$13)+IF(P167="",0,P167*'💰 Prix matériaux'!$B$15)+IF(Q167="",0,Q167*'💰 Prix matériaux'!$B$16)</f>
        <v>189</v>
      </c>
      <c r="S167" s="39">
        <f t="shared" si="26"/>
        <v>269</v>
      </c>
    </row>
    <row r="168" ht="15.75" customHeight="1">
      <c r="A168" s="107" t="s">
        <v>173</v>
      </c>
      <c r="B168" s="108" t="s">
        <v>176</v>
      </c>
      <c r="C168" s="36" t="s">
        <v>75</v>
      </c>
      <c r="D168" s="37">
        <v>80.0</v>
      </c>
      <c r="E168" s="37"/>
      <c r="F168" s="37"/>
      <c r="G168" s="37"/>
      <c r="H168" s="37"/>
      <c r="I168" s="37"/>
      <c r="J168" s="37">
        <v>1.0</v>
      </c>
      <c r="K168" s="37"/>
      <c r="L168" s="37"/>
      <c r="M168" s="37">
        <v>1.0</v>
      </c>
      <c r="N168" s="37">
        <v>2.0</v>
      </c>
      <c r="O168" s="37"/>
      <c r="P168" s="37">
        <v>1.0</v>
      </c>
      <c r="Q168" s="37"/>
      <c r="R168" s="38">
        <f>IF(E168="",0,E168*'💰 Prix matériaux'!$B$3)+IF(F168="",0,F168*'💰 Prix matériaux'!$B$4)+IF(G168="",0,G168*'💰 Prix matériaux'!$B$5)+IF(H168="",0,H168*'💰 Prix matériaux'!$B$6)+IF(I168="",0,I168*'💰 Prix matériaux'!$B$7)+IF(J168="",0,J168*'💰 Prix matériaux'!$B$8)+IF(K168="",0,K168*'💰 Prix matériaux'!$B$9)+IF(L168="",0,L168*'💰 Prix matériaux'!$B$10)+IF(M168="",0,M168*'💰 Prix matériaux'!$B$11)+IF(N168="",0,N168*'💰 Prix matériaux'!$B$12)+IF(O168="",0,O168*'💰 Prix matériaux'!$B$13)+IF(P168="",0,P168*'💰 Prix matériaux'!$B$15)+IF(Q168="",0,Q168*'💰 Prix matériaux'!$B$16)</f>
        <v>110</v>
      </c>
      <c r="S168" s="39">
        <f t="shared" si="26"/>
        <v>190</v>
      </c>
    </row>
    <row r="169" ht="15.75" customHeight="1">
      <c r="A169" s="107" t="s">
        <v>173</v>
      </c>
      <c r="B169" s="108" t="s">
        <v>177</v>
      </c>
      <c r="C169" s="36" t="s">
        <v>75</v>
      </c>
      <c r="D169" s="37">
        <v>80.0</v>
      </c>
      <c r="E169" s="37"/>
      <c r="F169" s="37"/>
      <c r="G169" s="37"/>
      <c r="H169" s="37"/>
      <c r="I169" s="37"/>
      <c r="J169" s="37">
        <v>1.0</v>
      </c>
      <c r="K169" s="37"/>
      <c r="L169" s="37"/>
      <c r="M169" s="37">
        <v>1.0</v>
      </c>
      <c r="N169" s="37">
        <v>2.0</v>
      </c>
      <c r="O169" s="37"/>
      <c r="P169" s="37">
        <v>2.0</v>
      </c>
      <c r="Q169" s="37"/>
      <c r="R169" s="38">
        <f>IF(E169="",0,E169*'💰 Prix matériaux'!$B$3)+IF(F169="",0,F169*'💰 Prix matériaux'!$B$4)+IF(G169="",0,G169*'💰 Prix matériaux'!$B$5)+IF(H169="",0,H169*'💰 Prix matériaux'!$B$6)+IF(I169="",0,I169*'💰 Prix matériaux'!$B$7)+IF(J169="",0,J169*'💰 Prix matériaux'!$B$8)+IF(K169="",0,K169*'💰 Prix matériaux'!$B$9)+IF(L169="",0,L169*'💰 Prix matériaux'!$B$10)+IF(M169="",0,M169*'💰 Prix matériaux'!$B$11)+IF(N169="",0,N169*'💰 Prix matériaux'!$B$12)+IF(O169="",0,O169*'💰 Prix matériaux'!$B$13)+IF(P169="",0,P169*'💰 Prix matériaux'!$B$15)+IF(Q169="",0,Q169*'💰 Prix matériaux'!$B$16)</f>
        <v>190</v>
      </c>
      <c r="S169" s="39">
        <f t="shared" si="26"/>
        <v>270</v>
      </c>
    </row>
    <row r="170" ht="15.75" customHeight="1">
      <c r="A170" s="107" t="s">
        <v>173</v>
      </c>
      <c r="B170" s="108" t="s">
        <v>178</v>
      </c>
      <c r="C170" s="36" t="s">
        <v>75</v>
      </c>
      <c r="D170" s="37">
        <v>80.0</v>
      </c>
      <c r="E170" s="37"/>
      <c r="F170" s="37"/>
      <c r="G170" s="37"/>
      <c r="H170" s="37"/>
      <c r="I170" s="37"/>
      <c r="J170" s="37">
        <v>1.0</v>
      </c>
      <c r="K170" s="37"/>
      <c r="L170" s="37"/>
      <c r="M170" s="37"/>
      <c r="N170" s="37">
        <v>2.0</v>
      </c>
      <c r="O170" s="37"/>
      <c r="P170" s="37">
        <v>4.0</v>
      </c>
      <c r="Q170" s="37"/>
      <c r="R170" s="38">
        <f>IF(E170="",0,E170*'💰 Prix matériaux'!$B$3)+IF(F170="",0,F170*'💰 Prix matériaux'!$B$4)+IF(G170="",0,G170*'💰 Prix matériaux'!$B$5)+IF(H170="",0,H170*'💰 Prix matériaux'!$B$6)+IF(I170="",0,I170*'💰 Prix matériaux'!$B$7)+IF(J170="",0,J170*'💰 Prix matériaux'!$B$8)+IF(K170="",0,K170*'💰 Prix matériaux'!$B$9)+IF(L170="",0,L170*'💰 Prix matériaux'!$B$10)+IF(M170="",0,M170*'💰 Prix matériaux'!$B$11)+IF(N170="",0,N170*'💰 Prix matériaux'!$B$12)+IF(O170="",0,O170*'💰 Prix matériaux'!$B$13)+IF(P170="",0,P170*'💰 Prix matériaux'!$B$15)+IF(Q170="",0,Q170*'💰 Prix matériaux'!$B$16)</f>
        <v>346</v>
      </c>
      <c r="S170" s="39">
        <f t="shared" si="26"/>
        <v>426</v>
      </c>
    </row>
    <row r="171" ht="18.0" customHeight="1">
      <c r="A171" s="33" t="s">
        <v>179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1"/>
    </row>
    <row r="172" ht="15.75" customHeight="1">
      <c r="A172" s="109" t="s">
        <v>180</v>
      </c>
      <c r="B172" s="110" t="s">
        <v>181</v>
      </c>
      <c r="C172" s="36" t="s">
        <v>75</v>
      </c>
      <c r="D172" s="37">
        <v>80.0</v>
      </c>
      <c r="E172" s="37"/>
      <c r="F172" s="37"/>
      <c r="G172" s="37"/>
      <c r="H172" s="37"/>
      <c r="I172" s="37"/>
      <c r="J172" s="37">
        <v>2.0</v>
      </c>
      <c r="K172" s="37"/>
      <c r="L172" s="37"/>
      <c r="M172" s="37">
        <v>1.0</v>
      </c>
      <c r="N172" s="37">
        <v>3.0</v>
      </c>
      <c r="O172" s="37"/>
      <c r="P172" s="37">
        <v>4.0</v>
      </c>
      <c r="Q172" s="37"/>
      <c r="R172" s="38">
        <f>IF(E172="",0,E172*'💰 Prix matériaux'!$B$3)+IF(F172="",0,F172*'💰 Prix matériaux'!$B$4)+IF(G172="",0,G172*'💰 Prix matériaux'!$B$5)+IF(H172="",0,H172*'💰 Prix matériaux'!$B$6)+IF(I172="",0,I172*'💰 Prix matériaux'!$B$7)+IF(J172="",0,J172*'💰 Prix matériaux'!$B$8)+IF(K172="",0,K172*'💰 Prix matériaux'!$B$9)+IF(L172="",0,L172*'💰 Prix matériaux'!$B$10)+IF(M172="",0,M172*'💰 Prix matériaux'!$B$11)+IF(N172="",0,N172*'💰 Prix matériaux'!$B$12)+IF(O172="",0,O172*'💰 Prix matériaux'!$B$13)+IF(P172="",0,P172*'💰 Prix matériaux'!$B$15)+IF(Q172="",0,Q172*'💰 Prix matériaux'!$B$16)</f>
        <v>375</v>
      </c>
      <c r="S172" s="39">
        <f t="shared" ref="S172:S176" si="27">D172+R172</f>
        <v>455</v>
      </c>
    </row>
    <row r="173" ht="15.75" customHeight="1">
      <c r="A173" s="109" t="s">
        <v>180</v>
      </c>
      <c r="B173" s="110" t="s">
        <v>182</v>
      </c>
      <c r="C173" s="36" t="s">
        <v>75</v>
      </c>
      <c r="D173" s="37">
        <v>80.0</v>
      </c>
      <c r="E173" s="37"/>
      <c r="F173" s="37"/>
      <c r="G173" s="37"/>
      <c r="H173" s="37"/>
      <c r="I173" s="37"/>
      <c r="J173" s="37">
        <v>1.0</v>
      </c>
      <c r="K173" s="37"/>
      <c r="L173" s="37"/>
      <c r="M173" s="37">
        <v>1.0</v>
      </c>
      <c r="N173" s="37">
        <v>1.0</v>
      </c>
      <c r="O173" s="37"/>
      <c r="P173" s="37">
        <v>2.0</v>
      </c>
      <c r="Q173" s="37"/>
      <c r="R173" s="38">
        <f>IF(E173="",0,E173*'💰 Prix matériaux'!$B$3)+IF(F173="",0,F173*'💰 Prix matériaux'!$B$4)+IF(G173="",0,G173*'💰 Prix matériaux'!$B$5)+IF(H173="",0,H173*'💰 Prix matériaux'!$B$6)+IF(I173="",0,I173*'💰 Prix matériaux'!$B$7)+IF(J173="",0,J173*'💰 Prix matériaux'!$B$8)+IF(K173="",0,K173*'💰 Prix matériaux'!$B$9)+IF(L173="",0,L173*'💰 Prix matériaux'!$B$10)+IF(M173="",0,M173*'💰 Prix matériaux'!$B$11)+IF(N173="",0,N173*'💰 Prix matériaux'!$B$12)+IF(O173="",0,O173*'💰 Prix matériaux'!$B$13)+IF(P173="",0,P173*'💰 Prix matériaux'!$B$15)+IF(Q173="",0,Q173*'💰 Prix matériaux'!$B$16)</f>
        <v>189</v>
      </c>
      <c r="S173" s="39">
        <f t="shared" si="27"/>
        <v>269</v>
      </c>
    </row>
    <row r="174" ht="15.75" customHeight="1">
      <c r="A174" s="109" t="s">
        <v>180</v>
      </c>
      <c r="B174" s="110" t="s">
        <v>183</v>
      </c>
      <c r="C174" s="36" t="s">
        <v>75</v>
      </c>
      <c r="D174" s="37">
        <v>80.0</v>
      </c>
      <c r="E174" s="37"/>
      <c r="F174" s="37"/>
      <c r="G174" s="37"/>
      <c r="H174" s="37"/>
      <c r="I174" s="37"/>
      <c r="J174" s="37">
        <v>1.0</v>
      </c>
      <c r="K174" s="37"/>
      <c r="L174" s="37"/>
      <c r="M174" s="37">
        <v>1.0</v>
      </c>
      <c r="N174" s="37">
        <v>2.0</v>
      </c>
      <c r="O174" s="37"/>
      <c r="P174" s="37">
        <v>1.0</v>
      </c>
      <c r="Q174" s="37"/>
      <c r="R174" s="38">
        <f>IF(E174="",0,E174*'💰 Prix matériaux'!$B$3)+IF(F174="",0,F174*'💰 Prix matériaux'!$B$4)+IF(G174="",0,G174*'💰 Prix matériaux'!$B$5)+IF(H174="",0,H174*'💰 Prix matériaux'!$B$6)+IF(I174="",0,I174*'💰 Prix matériaux'!$B$7)+IF(J174="",0,J174*'💰 Prix matériaux'!$B$8)+IF(K174="",0,K174*'💰 Prix matériaux'!$B$9)+IF(L174="",0,L174*'💰 Prix matériaux'!$B$10)+IF(M174="",0,M174*'💰 Prix matériaux'!$B$11)+IF(N174="",0,N174*'💰 Prix matériaux'!$B$12)+IF(O174="",0,O174*'💰 Prix matériaux'!$B$13)+IF(P174="",0,P174*'💰 Prix matériaux'!$B$15)+IF(Q174="",0,Q174*'💰 Prix matériaux'!$B$16)</f>
        <v>110</v>
      </c>
      <c r="S174" s="39">
        <f t="shared" si="27"/>
        <v>190</v>
      </c>
    </row>
    <row r="175" ht="15.75" customHeight="1">
      <c r="A175" s="109" t="s">
        <v>180</v>
      </c>
      <c r="B175" s="110" t="s">
        <v>184</v>
      </c>
      <c r="C175" s="36" t="s">
        <v>75</v>
      </c>
      <c r="D175" s="37">
        <v>80.0</v>
      </c>
      <c r="E175" s="37"/>
      <c r="F175" s="37"/>
      <c r="G175" s="37"/>
      <c r="H175" s="37"/>
      <c r="I175" s="37"/>
      <c r="J175" s="37">
        <v>1.0</v>
      </c>
      <c r="K175" s="37"/>
      <c r="L175" s="37"/>
      <c r="M175" s="37">
        <v>1.0</v>
      </c>
      <c r="N175" s="37">
        <v>2.0</v>
      </c>
      <c r="O175" s="37"/>
      <c r="P175" s="37">
        <v>2.0</v>
      </c>
      <c r="Q175" s="37"/>
      <c r="R175" s="38">
        <f>IF(E175="",0,E175*'💰 Prix matériaux'!$B$3)+IF(F175="",0,F175*'💰 Prix matériaux'!$B$4)+IF(G175="",0,G175*'💰 Prix matériaux'!$B$5)+IF(H175="",0,H175*'💰 Prix matériaux'!$B$6)+IF(I175="",0,I175*'💰 Prix matériaux'!$B$7)+IF(J175="",0,J175*'💰 Prix matériaux'!$B$8)+IF(K175="",0,K175*'💰 Prix matériaux'!$B$9)+IF(L175="",0,L175*'💰 Prix matériaux'!$B$10)+IF(M175="",0,M175*'💰 Prix matériaux'!$B$11)+IF(N175="",0,N175*'💰 Prix matériaux'!$B$12)+IF(O175="",0,O175*'💰 Prix matériaux'!$B$13)+IF(P175="",0,P175*'💰 Prix matériaux'!$B$15)+IF(Q175="",0,Q175*'💰 Prix matériaux'!$B$16)</f>
        <v>190</v>
      </c>
      <c r="S175" s="39">
        <f t="shared" si="27"/>
        <v>270</v>
      </c>
    </row>
    <row r="176" ht="15.75" customHeight="1">
      <c r="A176" s="109" t="s">
        <v>180</v>
      </c>
      <c r="B176" s="110" t="s">
        <v>185</v>
      </c>
      <c r="C176" s="36" t="s">
        <v>75</v>
      </c>
      <c r="D176" s="37">
        <v>80.0</v>
      </c>
      <c r="E176" s="37"/>
      <c r="F176" s="37"/>
      <c r="G176" s="37"/>
      <c r="H176" s="37"/>
      <c r="I176" s="37"/>
      <c r="J176" s="37">
        <v>1.0</v>
      </c>
      <c r="K176" s="37"/>
      <c r="L176" s="37"/>
      <c r="M176" s="37"/>
      <c r="N176" s="37">
        <v>2.0</v>
      </c>
      <c r="O176" s="37"/>
      <c r="P176" s="37">
        <v>4.0</v>
      </c>
      <c r="Q176" s="37"/>
      <c r="R176" s="38">
        <f>IF(E176="",0,E176*'💰 Prix matériaux'!$B$3)+IF(F176="",0,F176*'💰 Prix matériaux'!$B$4)+IF(G176="",0,G176*'💰 Prix matériaux'!$B$5)+IF(H176="",0,H176*'💰 Prix matériaux'!$B$6)+IF(I176="",0,I176*'💰 Prix matériaux'!$B$7)+IF(J176="",0,J176*'💰 Prix matériaux'!$B$8)+IF(K176="",0,K176*'💰 Prix matériaux'!$B$9)+IF(L176="",0,L176*'💰 Prix matériaux'!$B$10)+IF(M176="",0,M176*'💰 Prix matériaux'!$B$11)+IF(N176="",0,N176*'💰 Prix matériaux'!$B$12)+IF(O176="",0,O176*'💰 Prix matériaux'!$B$13)+IF(P176="",0,P176*'💰 Prix matériaux'!$B$15)+IF(Q176="",0,Q176*'💰 Prix matériaux'!$B$16)</f>
        <v>346</v>
      </c>
      <c r="S176" s="39">
        <f t="shared" si="27"/>
        <v>426</v>
      </c>
    </row>
    <row r="177" ht="18.0" customHeight="1">
      <c r="A177" s="33" t="s">
        <v>186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1"/>
    </row>
    <row r="178" ht="15.75" customHeight="1">
      <c r="A178" s="111" t="s">
        <v>187</v>
      </c>
      <c r="B178" s="112" t="s">
        <v>188</v>
      </c>
      <c r="C178" s="36" t="s">
        <v>75</v>
      </c>
      <c r="D178" s="92">
        <v>80.0</v>
      </c>
      <c r="E178" s="37"/>
      <c r="F178" s="37"/>
      <c r="G178" s="37"/>
      <c r="H178" s="37"/>
      <c r="I178" s="37"/>
      <c r="J178" s="37">
        <v>2.0</v>
      </c>
      <c r="K178" s="37"/>
      <c r="L178" s="37"/>
      <c r="M178" s="37">
        <v>1.0</v>
      </c>
      <c r="N178" s="37">
        <v>3.0</v>
      </c>
      <c r="O178" s="37"/>
      <c r="P178" s="37">
        <v>4.0</v>
      </c>
      <c r="Q178" s="37"/>
      <c r="R178" s="38">
        <f>IF(E178="",0,E178*'💰 Prix matériaux'!$B$3)+IF(F178="",0,F178*'💰 Prix matériaux'!$B$4)+IF(G178="",0,G178*'💰 Prix matériaux'!$B$5)+IF(H178="",0,H178*'💰 Prix matériaux'!$B$6)+IF(I178="",0,I178*'💰 Prix matériaux'!$B$7)+IF(J178="",0,J178*'💰 Prix matériaux'!$B$8)+IF(K178="",0,K178*'💰 Prix matériaux'!$B$9)+IF(L178="",0,L178*'💰 Prix matériaux'!$B$10)+IF(M178="",0,M178*'💰 Prix matériaux'!$B$11)+IF(N178="",0,N178*'💰 Prix matériaux'!$B$12)+IF(O178="",0,O178*'💰 Prix matériaux'!$B$13)+IF(P178="",0,P178*'💰 Prix matériaux'!$B$15)+IF(Q178="",0,Q178*'💰 Prix matériaux'!$B$16)</f>
        <v>375</v>
      </c>
      <c r="S178" s="39">
        <f t="shared" ref="S178:S181" si="28">D178+R178</f>
        <v>455</v>
      </c>
    </row>
    <row r="179" ht="15.75" customHeight="1">
      <c r="A179" s="111" t="s">
        <v>187</v>
      </c>
      <c r="B179" s="112" t="s">
        <v>189</v>
      </c>
      <c r="C179" s="36" t="s">
        <v>75</v>
      </c>
      <c r="D179" s="92">
        <v>80.0</v>
      </c>
      <c r="E179" s="37"/>
      <c r="F179" s="37"/>
      <c r="G179" s="37"/>
      <c r="H179" s="37"/>
      <c r="I179" s="37"/>
      <c r="J179" s="37">
        <v>1.0</v>
      </c>
      <c r="K179" s="37"/>
      <c r="L179" s="37"/>
      <c r="M179" s="37">
        <v>1.0</v>
      </c>
      <c r="N179" s="37">
        <v>1.0</v>
      </c>
      <c r="O179" s="37"/>
      <c r="P179" s="37">
        <v>2.0</v>
      </c>
      <c r="Q179" s="37"/>
      <c r="R179" s="38">
        <f>IF(E179="",0,E179*'💰 Prix matériaux'!$B$3)+IF(F179="",0,F179*'💰 Prix matériaux'!$B$4)+IF(G179="",0,G179*'💰 Prix matériaux'!$B$5)+IF(H179="",0,H179*'💰 Prix matériaux'!$B$6)+IF(I179="",0,I179*'💰 Prix matériaux'!$B$7)+IF(J179="",0,J179*'💰 Prix matériaux'!$B$8)+IF(K179="",0,K179*'💰 Prix matériaux'!$B$9)+IF(L179="",0,L179*'💰 Prix matériaux'!$B$10)+IF(M179="",0,M179*'💰 Prix matériaux'!$B$11)+IF(N179="",0,N179*'💰 Prix matériaux'!$B$12)+IF(O179="",0,O179*'💰 Prix matériaux'!$B$13)+IF(P179="",0,P179*'💰 Prix matériaux'!$B$15)+IF(Q179="",0,Q179*'💰 Prix matériaux'!$B$16)</f>
        <v>189</v>
      </c>
      <c r="S179" s="39">
        <f t="shared" si="28"/>
        <v>269</v>
      </c>
    </row>
    <row r="180" ht="15.75" customHeight="1">
      <c r="A180" s="111" t="s">
        <v>187</v>
      </c>
      <c r="B180" s="112" t="s">
        <v>190</v>
      </c>
      <c r="C180" s="36" t="s">
        <v>75</v>
      </c>
      <c r="D180" s="92">
        <v>80.0</v>
      </c>
      <c r="E180" s="37"/>
      <c r="F180" s="37"/>
      <c r="G180" s="37"/>
      <c r="H180" s="37"/>
      <c r="I180" s="37"/>
      <c r="J180" s="37">
        <v>1.0</v>
      </c>
      <c r="K180" s="37"/>
      <c r="L180" s="37"/>
      <c r="M180" s="37">
        <v>1.0</v>
      </c>
      <c r="N180" s="37">
        <v>2.0</v>
      </c>
      <c r="O180" s="37"/>
      <c r="P180" s="37">
        <v>1.0</v>
      </c>
      <c r="Q180" s="37"/>
      <c r="R180" s="38">
        <f>IF(E180="",0,E180*'💰 Prix matériaux'!$B$3)+IF(F180="",0,F180*'💰 Prix matériaux'!$B$4)+IF(G180="",0,G180*'💰 Prix matériaux'!$B$5)+IF(H180="",0,H180*'💰 Prix matériaux'!$B$6)+IF(I180="",0,I180*'💰 Prix matériaux'!$B$7)+IF(J180="",0,J180*'💰 Prix matériaux'!$B$8)+IF(K180="",0,K180*'💰 Prix matériaux'!$B$9)+IF(L180="",0,L180*'💰 Prix matériaux'!$B$10)+IF(M180="",0,M180*'💰 Prix matériaux'!$B$11)+IF(N180="",0,N180*'💰 Prix matériaux'!$B$12)+IF(O180="",0,O180*'💰 Prix matériaux'!$B$13)+IF(P180="",0,P180*'💰 Prix matériaux'!$B$15)+IF(Q180="",0,Q180*'💰 Prix matériaux'!$B$16)</f>
        <v>110</v>
      </c>
      <c r="S180" s="39">
        <f t="shared" si="28"/>
        <v>190</v>
      </c>
    </row>
    <row r="181" ht="15.75" customHeight="1">
      <c r="A181" s="111" t="s">
        <v>187</v>
      </c>
      <c r="B181" s="112" t="s">
        <v>191</v>
      </c>
      <c r="C181" s="36" t="s">
        <v>75</v>
      </c>
      <c r="D181" s="92">
        <v>80.0</v>
      </c>
      <c r="E181" s="37"/>
      <c r="F181" s="37"/>
      <c r="G181" s="37"/>
      <c r="H181" s="37"/>
      <c r="I181" s="37"/>
      <c r="J181" s="37">
        <v>1.0</v>
      </c>
      <c r="K181" s="37"/>
      <c r="L181" s="37"/>
      <c r="M181" s="37">
        <v>1.0</v>
      </c>
      <c r="N181" s="37">
        <v>2.0</v>
      </c>
      <c r="O181" s="37"/>
      <c r="P181" s="37">
        <v>2.0</v>
      </c>
      <c r="Q181" s="37"/>
      <c r="R181" s="38">
        <f>IF(E181="",0,E181*'💰 Prix matériaux'!$B$3)+IF(F181="",0,F181*'💰 Prix matériaux'!$B$4)+IF(G181="",0,G181*'💰 Prix matériaux'!$B$5)+IF(H181="",0,H181*'💰 Prix matériaux'!$B$6)+IF(I181="",0,I181*'💰 Prix matériaux'!$B$7)+IF(J181="",0,J181*'💰 Prix matériaux'!$B$8)+IF(K181="",0,K181*'💰 Prix matériaux'!$B$9)+IF(L181="",0,L181*'💰 Prix matériaux'!$B$10)+IF(M181="",0,M181*'💰 Prix matériaux'!$B$11)+IF(N181="",0,N181*'💰 Prix matériaux'!$B$12)+IF(O181="",0,O181*'💰 Prix matériaux'!$B$13)+IF(P181="",0,P181*'💰 Prix matériaux'!$B$15)+IF(Q181="",0,Q181*'💰 Prix matériaux'!$B$16)</f>
        <v>190</v>
      </c>
      <c r="S181" s="39">
        <f t="shared" si="28"/>
        <v>270</v>
      </c>
    </row>
    <row r="182" ht="18.0" customHeight="1">
      <c r="A182" s="33" t="s">
        <v>192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1"/>
    </row>
    <row r="183" ht="15.75" customHeight="1">
      <c r="A183" s="113" t="s">
        <v>193</v>
      </c>
      <c r="B183" s="114" t="s">
        <v>194</v>
      </c>
      <c r="C183" s="36" t="s">
        <v>75</v>
      </c>
      <c r="D183" s="92">
        <v>80.0</v>
      </c>
      <c r="E183" s="37">
        <v>1.0</v>
      </c>
      <c r="F183" s="37"/>
      <c r="G183" s="37"/>
      <c r="H183" s="37"/>
      <c r="I183" s="37"/>
      <c r="J183" s="37">
        <v>4.0</v>
      </c>
      <c r="K183" s="37"/>
      <c r="L183" s="37"/>
      <c r="M183" s="37">
        <v>1.0</v>
      </c>
      <c r="N183" s="37">
        <v>3.0</v>
      </c>
      <c r="O183" s="37"/>
      <c r="P183" s="37"/>
      <c r="Q183" s="37"/>
      <c r="R183" s="38">
        <f>IF(E183="",0,E183*'💰 Prix matériaux'!$B$3)+IF(F183="",0,F183*'💰 Prix matériaux'!$B$4)+IF(G183="",0,G183*'💰 Prix matériaux'!$B$5)+IF(H183="",0,H183*'💰 Prix matériaux'!$B$6)+IF(I183="",0,I183*'💰 Prix matériaux'!$B$7)+IF(J183="",0,J183*'💰 Prix matériaux'!$B$8)+IF(K183="",0,K183*'💰 Prix matériaux'!$B$9)+IF(L183="",0,L183*'💰 Prix matériaux'!$B$10)+IF(M183="",0,M183*'💰 Prix matériaux'!$B$11)+IF(N183="",0,N183*'💰 Prix matériaux'!$B$12)+IF(O183="",0,O183*'💰 Prix matériaux'!$B$13)+IF(P183="",0,P183*'💰 Prix matériaux'!$B$15)+IF(Q183="",0,Q183*'💰 Prix matériaux'!$B$16)</f>
        <v>107</v>
      </c>
      <c r="S183" s="39">
        <f t="shared" ref="S183:S186" si="29">D183+R183</f>
        <v>187</v>
      </c>
    </row>
    <row r="184" ht="15.75" customHeight="1">
      <c r="A184" s="113" t="s">
        <v>193</v>
      </c>
      <c r="B184" s="114" t="s">
        <v>195</v>
      </c>
      <c r="C184" s="36" t="s">
        <v>75</v>
      </c>
      <c r="D184" s="92">
        <v>80.0</v>
      </c>
      <c r="E184" s="37">
        <v>1.0</v>
      </c>
      <c r="F184" s="37"/>
      <c r="G184" s="37"/>
      <c r="H184" s="37"/>
      <c r="I184" s="37"/>
      <c r="J184" s="37">
        <v>2.0</v>
      </c>
      <c r="K184" s="37"/>
      <c r="L184" s="37"/>
      <c r="M184" s="37">
        <v>1.0</v>
      </c>
      <c r="N184" s="37">
        <v>1.0</v>
      </c>
      <c r="O184" s="37"/>
      <c r="P184" s="37"/>
      <c r="Q184" s="37"/>
      <c r="R184" s="38">
        <f>IF(E184="",0,E184*'💰 Prix matériaux'!$B$3)+IF(F184="",0,F184*'💰 Prix matériaux'!$B$4)+IF(G184="",0,G184*'💰 Prix matériaux'!$B$5)+IF(H184="",0,H184*'💰 Prix matériaux'!$B$6)+IF(I184="",0,I184*'💰 Prix matériaux'!$B$7)+IF(J184="",0,J184*'💰 Prix matériaux'!$B$8)+IF(K184="",0,K184*'💰 Prix matériaux'!$B$9)+IF(L184="",0,L184*'💰 Prix matériaux'!$B$10)+IF(M184="",0,M184*'💰 Prix matériaux'!$B$11)+IF(N184="",0,N184*'💰 Prix matériaux'!$B$12)+IF(O184="",0,O184*'💰 Prix matériaux'!$B$13)+IF(P184="",0,P184*'💰 Prix matériaux'!$B$15)+IF(Q184="",0,Q184*'💰 Prix matériaux'!$B$16)</f>
        <v>57</v>
      </c>
      <c r="S184" s="39">
        <f t="shared" si="29"/>
        <v>137</v>
      </c>
    </row>
    <row r="185" ht="15.75" customHeight="1">
      <c r="A185" s="113" t="s">
        <v>193</v>
      </c>
      <c r="B185" s="114" t="s">
        <v>196</v>
      </c>
      <c r="C185" s="36" t="s">
        <v>75</v>
      </c>
      <c r="D185" s="92">
        <v>80.0</v>
      </c>
      <c r="E185" s="37">
        <v>1.0</v>
      </c>
      <c r="F185" s="37"/>
      <c r="G185" s="37"/>
      <c r="H185" s="37"/>
      <c r="I185" s="37"/>
      <c r="J185" s="37">
        <v>1.0</v>
      </c>
      <c r="K185" s="37"/>
      <c r="L185" s="37"/>
      <c r="M185" s="37">
        <v>1.0</v>
      </c>
      <c r="N185" s="37">
        <v>2.0</v>
      </c>
      <c r="O185" s="37"/>
      <c r="P185" s="37"/>
      <c r="Q185" s="37"/>
      <c r="R185" s="38">
        <f>IF(E185="",0,E185*'💰 Prix matériaux'!$B$3)+IF(F185="",0,F185*'💰 Prix matériaux'!$B$4)+IF(G185="",0,G185*'💰 Prix matériaux'!$B$5)+IF(H185="",0,H185*'💰 Prix matériaux'!$B$6)+IF(I185="",0,I185*'💰 Prix matériaux'!$B$7)+IF(J185="",0,J185*'💰 Prix matériaux'!$B$8)+IF(K185="",0,K185*'💰 Prix matériaux'!$B$9)+IF(L185="",0,L185*'💰 Prix matériaux'!$B$10)+IF(M185="",0,M185*'💰 Prix matériaux'!$B$11)+IF(N185="",0,N185*'💰 Prix matériaux'!$B$12)+IF(O185="",0,O185*'💰 Prix matériaux'!$B$13)+IF(P185="",0,P185*'💰 Prix matériaux'!$B$15)+IF(Q185="",0,Q185*'💰 Prix matériaux'!$B$16)</f>
        <v>34</v>
      </c>
      <c r="S185" s="39">
        <f t="shared" si="29"/>
        <v>114</v>
      </c>
    </row>
    <row r="186" ht="15.75" customHeight="1">
      <c r="A186" s="113" t="s">
        <v>193</v>
      </c>
      <c r="B186" s="114" t="s">
        <v>197</v>
      </c>
      <c r="C186" s="36" t="s">
        <v>75</v>
      </c>
      <c r="D186" s="92">
        <v>80.0</v>
      </c>
      <c r="E186" s="37">
        <v>1.0</v>
      </c>
      <c r="F186" s="37"/>
      <c r="G186" s="37"/>
      <c r="H186" s="37"/>
      <c r="I186" s="37"/>
      <c r="J186" s="37">
        <v>2.0</v>
      </c>
      <c r="K186" s="37"/>
      <c r="L186" s="37"/>
      <c r="M186" s="37">
        <v>1.0</v>
      </c>
      <c r="N186" s="37">
        <v>2.0</v>
      </c>
      <c r="O186" s="37"/>
      <c r="P186" s="37"/>
      <c r="Q186" s="37"/>
      <c r="R186" s="38">
        <f>IF(E186="",0,E186*'💰 Prix matériaux'!$B$3)+IF(F186="",0,F186*'💰 Prix matériaux'!$B$4)+IF(G186="",0,G186*'💰 Prix matériaux'!$B$5)+IF(H186="",0,H186*'💰 Prix matériaux'!$B$6)+IF(I186="",0,I186*'💰 Prix matériaux'!$B$7)+IF(J186="",0,J186*'💰 Prix matériaux'!$B$8)+IF(K186="",0,K186*'💰 Prix matériaux'!$B$9)+IF(L186="",0,L186*'💰 Prix matériaux'!$B$10)+IF(M186="",0,M186*'💰 Prix matériaux'!$B$11)+IF(N186="",0,N186*'💰 Prix matériaux'!$B$12)+IF(O186="",0,O186*'💰 Prix matériaux'!$B$13)+IF(P186="",0,P186*'💰 Prix matériaux'!$B$15)+IF(Q186="",0,Q186*'💰 Prix matériaux'!$B$16)</f>
        <v>58</v>
      </c>
      <c r="S186" s="39">
        <f t="shared" si="29"/>
        <v>138</v>
      </c>
    </row>
    <row r="187" ht="18.0" customHeight="1">
      <c r="A187" s="33" t="s">
        <v>198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1"/>
    </row>
    <row r="188" ht="15.75" customHeight="1">
      <c r="A188" s="115" t="s">
        <v>199</v>
      </c>
      <c r="B188" s="116" t="s">
        <v>200</v>
      </c>
      <c r="C188" s="36" t="s">
        <v>201</v>
      </c>
      <c r="D188" s="92">
        <v>80.0</v>
      </c>
      <c r="E188" s="37"/>
      <c r="F188" s="37"/>
      <c r="G188" s="37"/>
      <c r="H188" s="37"/>
      <c r="I188" s="37"/>
      <c r="J188" s="37"/>
      <c r="K188" s="37"/>
      <c r="L188" s="37"/>
      <c r="M188" s="37">
        <v>2.0</v>
      </c>
      <c r="N188" s="37">
        <v>2.0</v>
      </c>
      <c r="O188" s="37"/>
      <c r="P188" s="37"/>
      <c r="Q188" s="37"/>
      <c r="R188" s="38">
        <f>IF(E188="",0,E188*'💰 Prix matériaux'!$B$3)+IF(F188="",0,F188*'💰 Prix matériaux'!$B$4)+IF(G188="",0,G188*'💰 Prix matériaux'!$B$5)+IF(H188="",0,H188*'💰 Prix matériaux'!$B$6)+IF(I188="",0,I188*'💰 Prix matériaux'!$B$7)+IF(J188="",0,J188*'💰 Prix matériaux'!$B$8)+IF(K188="",0,K188*'💰 Prix matériaux'!$B$9)+IF(L188="",0,L188*'💰 Prix matériaux'!$B$10)+IF(M188="",0,M188*'💰 Prix matériaux'!$B$11)+IF(N188="",0,N188*'💰 Prix matériaux'!$B$12)+IF(O188="",0,O188*'💰 Prix matériaux'!$B$13)+IF(P188="",0,P188*'💰 Prix matériaux'!$B$15)+IF(Q188="",0,Q188*'💰 Prix matériaux'!$B$16)</f>
        <v>10</v>
      </c>
      <c r="S188" s="39">
        <f t="shared" ref="S188:S190" si="30">D188+R188</f>
        <v>90</v>
      </c>
    </row>
    <row r="189" ht="15.75" customHeight="1">
      <c r="A189" s="115" t="s">
        <v>199</v>
      </c>
      <c r="B189" s="116" t="s">
        <v>202</v>
      </c>
      <c r="C189" s="36" t="s">
        <v>201</v>
      </c>
      <c r="D189" s="92">
        <v>80.0</v>
      </c>
      <c r="E189" s="37"/>
      <c r="F189" s="37"/>
      <c r="G189" s="37"/>
      <c r="H189" s="37"/>
      <c r="I189" s="37"/>
      <c r="J189" s="37"/>
      <c r="K189" s="37"/>
      <c r="L189" s="37"/>
      <c r="M189" s="37">
        <v>2.0</v>
      </c>
      <c r="N189" s="37">
        <v>1.0</v>
      </c>
      <c r="O189" s="37"/>
      <c r="P189" s="37"/>
      <c r="Q189" s="37"/>
      <c r="R189" s="38">
        <f>IF(E189="",0,E189*'💰 Prix matériaux'!$B$3)+IF(F189="",0,F189*'💰 Prix matériaux'!$B$4)+IF(G189="",0,G189*'💰 Prix matériaux'!$B$5)+IF(H189="",0,H189*'💰 Prix matériaux'!$B$6)+IF(I189="",0,I189*'💰 Prix matériaux'!$B$7)+IF(J189="",0,J189*'💰 Prix matériaux'!$B$8)+IF(K189="",0,K189*'💰 Prix matériaux'!$B$9)+IF(L189="",0,L189*'💰 Prix matériaux'!$B$10)+IF(M189="",0,M189*'💰 Prix matériaux'!$B$11)+IF(N189="",0,N189*'💰 Prix matériaux'!$B$12)+IF(O189="",0,O189*'💰 Prix matériaux'!$B$13)+IF(P189="",0,P189*'💰 Prix matériaux'!$B$15)+IF(Q189="",0,Q189*'💰 Prix matériaux'!$B$16)</f>
        <v>9</v>
      </c>
      <c r="S189" s="39">
        <f t="shared" si="30"/>
        <v>89</v>
      </c>
    </row>
    <row r="190" ht="15.75" customHeight="1">
      <c r="A190" s="115" t="s">
        <v>199</v>
      </c>
      <c r="B190" s="116" t="s">
        <v>203</v>
      </c>
      <c r="C190" s="36" t="s">
        <v>201</v>
      </c>
      <c r="D190" s="92">
        <v>80.0</v>
      </c>
      <c r="E190" s="37"/>
      <c r="F190" s="37"/>
      <c r="G190" s="37"/>
      <c r="H190" s="37"/>
      <c r="I190" s="37"/>
      <c r="J190" s="37"/>
      <c r="K190" s="37"/>
      <c r="L190" s="37"/>
      <c r="M190" s="37">
        <v>1.0</v>
      </c>
      <c r="N190" s="37">
        <v>1.0</v>
      </c>
      <c r="O190" s="37"/>
      <c r="P190" s="37"/>
      <c r="Q190" s="37"/>
      <c r="R190" s="38">
        <f>IF(E190="",0,E190*'💰 Prix matériaux'!$B$3)+IF(F190="",0,F190*'💰 Prix matériaux'!$B$4)+IF(G190="",0,G190*'💰 Prix matériaux'!$B$5)+IF(H190="",0,H190*'💰 Prix matériaux'!$B$6)+IF(I190="",0,I190*'💰 Prix matériaux'!$B$7)+IF(J190="",0,J190*'💰 Prix matériaux'!$B$8)+IF(K190="",0,K190*'💰 Prix matériaux'!$B$9)+IF(L190="",0,L190*'💰 Prix matériaux'!$B$10)+IF(M190="",0,M190*'💰 Prix matériaux'!$B$11)+IF(N190="",0,N190*'💰 Prix matériaux'!$B$12)+IF(O190="",0,O190*'💰 Prix matériaux'!$B$13)+IF(P190="",0,P190*'💰 Prix matériaux'!$B$15)+IF(Q190="",0,Q190*'💰 Prix matériaux'!$B$16)</f>
        <v>5</v>
      </c>
      <c r="S190" s="39">
        <f t="shared" si="30"/>
        <v>85</v>
      </c>
    </row>
    <row r="191" ht="18.0" customHeight="1">
      <c r="A191" s="33" t="s">
        <v>204</v>
      </c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1"/>
    </row>
    <row r="192" ht="15.75" customHeight="1">
      <c r="A192" s="113" t="s">
        <v>205</v>
      </c>
      <c r="B192" s="114" t="s">
        <v>206</v>
      </c>
      <c r="C192" s="42" t="s">
        <v>81</v>
      </c>
      <c r="D192" s="92">
        <v>80.0</v>
      </c>
      <c r="E192" s="37">
        <v>1.0</v>
      </c>
      <c r="F192" s="37"/>
      <c r="G192" s="37"/>
      <c r="H192" s="37"/>
      <c r="I192" s="37"/>
      <c r="J192" s="37">
        <v>4.0</v>
      </c>
      <c r="K192" s="37">
        <v>1.0</v>
      </c>
      <c r="L192" s="37"/>
      <c r="M192" s="37">
        <v>1.0</v>
      </c>
      <c r="N192" s="37">
        <v>3.0</v>
      </c>
      <c r="O192" s="37"/>
      <c r="P192" s="37"/>
      <c r="Q192" s="37"/>
      <c r="R192" s="38">
        <f>IF(E192="",0,E192*'💰 Prix matériaux'!$B$3)+IF(F192="",0,F192*'💰 Prix matériaux'!$B$4)+IF(G192="",0,G192*'💰 Prix matériaux'!$B$5)+IF(H192="",0,H192*'💰 Prix matériaux'!$B$6)+IF(I192="",0,I192*'💰 Prix matériaux'!$B$7)+IF(J192="",0,J192*'💰 Prix matériaux'!$B$8)+IF(K192="",0,K192*'💰 Prix matériaux'!$B$9)+IF(L192="",0,L192*'💰 Prix matériaux'!$B$10)+IF(M192="",0,M192*'💰 Prix matériaux'!$B$11)+IF(N192="",0,N192*'💰 Prix matériaux'!$B$12)+IF(O192="",0,O192*'💰 Prix matériaux'!$B$13)+IF(P192="",0,P192*'💰 Prix matériaux'!$B$15)+IF(Q192="",0,Q192*'💰 Prix matériaux'!$B$16)</f>
        <v>113</v>
      </c>
      <c r="S192" s="39">
        <f t="shared" ref="S192:S195" si="31">D192+R192</f>
        <v>193</v>
      </c>
    </row>
    <row r="193" ht="15.75" customHeight="1">
      <c r="A193" s="113" t="s">
        <v>205</v>
      </c>
      <c r="B193" s="114" t="s">
        <v>207</v>
      </c>
      <c r="C193" s="42" t="s">
        <v>81</v>
      </c>
      <c r="D193" s="92">
        <v>80.0</v>
      </c>
      <c r="E193" s="37">
        <v>1.0</v>
      </c>
      <c r="F193" s="37"/>
      <c r="G193" s="37"/>
      <c r="H193" s="37"/>
      <c r="I193" s="37"/>
      <c r="J193" s="37">
        <v>2.0</v>
      </c>
      <c r="K193" s="37">
        <v>1.0</v>
      </c>
      <c r="L193" s="37"/>
      <c r="M193" s="37">
        <v>1.0</v>
      </c>
      <c r="N193" s="37">
        <v>1.0</v>
      </c>
      <c r="O193" s="37"/>
      <c r="P193" s="37"/>
      <c r="Q193" s="37"/>
      <c r="R193" s="38">
        <f>IF(E193="",0,E193*'💰 Prix matériaux'!$B$3)+IF(F193="",0,F193*'💰 Prix matériaux'!$B$4)+IF(G193="",0,G193*'💰 Prix matériaux'!$B$5)+IF(H193="",0,H193*'💰 Prix matériaux'!$B$6)+IF(I193="",0,I193*'💰 Prix matériaux'!$B$7)+IF(J193="",0,J193*'💰 Prix matériaux'!$B$8)+IF(K193="",0,K193*'💰 Prix matériaux'!$B$9)+IF(L193="",0,L193*'💰 Prix matériaux'!$B$10)+IF(M193="",0,M193*'💰 Prix matériaux'!$B$11)+IF(N193="",0,N193*'💰 Prix matériaux'!$B$12)+IF(O193="",0,O193*'💰 Prix matériaux'!$B$13)+IF(P193="",0,P193*'💰 Prix matériaux'!$B$15)+IF(Q193="",0,Q193*'💰 Prix matériaux'!$B$16)</f>
        <v>63</v>
      </c>
      <c r="S193" s="39">
        <f t="shared" si="31"/>
        <v>143</v>
      </c>
    </row>
    <row r="194" ht="15.75" customHeight="1">
      <c r="A194" s="113" t="s">
        <v>205</v>
      </c>
      <c r="B194" s="114" t="s">
        <v>208</v>
      </c>
      <c r="C194" s="42" t="s">
        <v>81</v>
      </c>
      <c r="D194" s="92">
        <v>80.0</v>
      </c>
      <c r="E194" s="37">
        <v>1.0</v>
      </c>
      <c r="F194" s="37"/>
      <c r="G194" s="37"/>
      <c r="H194" s="37"/>
      <c r="I194" s="37"/>
      <c r="J194" s="37">
        <v>1.0</v>
      </c>
      <c r="K194" s="37">
        <v>1.0</v>
      </c>
      <c r="L194" s="37"/>
      <c r="M194" s="37">
        <v>1.0</v>
      </c>
      <c r="N194" s="37">
        <v>2.0</v>
      </c>
      <c r="O194" s="37"/>
      <c r="P194" s="37"/>
      <c r="Q194" s="37"/>
      <c r="R194" s="38">
        <f>IF(E194="",0,E194*'💰 Prix matériaux'!$B$3)+IF(F194="",0,F194*'💰 Prix matériaux'!$B$4)+IF(G194="",0,G194*'💰 Prix matériaux'!$B$5)+IF(H194="",0,H194*'💰 Prix matériaux'!$B$6)+IF(I194="",0,I194*'💰 Prix matériaux'!$B$7)+IF(J194="",0,J194*'💰 Prix matériaux'!$B$8)+IF(K194="",0,K194*'💰 Prix matériaux'!$B$9)+IF(L194="",0,L194*'💰 Prix matériaux'!$B$10)+IF(M194="",0,M194*'💰 Prix matériaux'!$B$11)+IF(N194="",0,N194*'💰 Prix matériaux'!$B$12)+IF(O194="",0,O194*'💰 Prix matériaux'!$B$13)+IF(P194="",0,P194*'💰 Prix matériaux'!$B$15)+IF(Q194="",0,Q194*'💰 Prix matériaux'!$B$16)</f>
        <v>40</v>
      </c>
      <c r="S194" s="39">
        <f t="shared" si="31"/>
        <v>120</v>
      </c>
    </row>
    <row r="195" ht="15.75" customHeight="1">
      <c r="A195" s="113" t="s">
        <v>205</v>
      </c>
      <c r="B195" s="114" t="s">
        <v>209</v>
      </c>
      <c r="C195" s="42" t="s">
        <v>81</v>
      </c>
      <c r="D195" s="92">
        <v>80.0</v>
      </c>
      <c r="E195" s="37">
        <v>1.0</v>
      </c>
      <c r="F195" s="37"/>
      <c r="G195" s="37"/>
      <c r="H195" s="37"/>
      <c r="I195" s="37"/>
      <c r="J195" s="37">
        <v>2.0</v>
      </c>
      <c r="K195" s="37">
        <v>1.0</v>
      </c>
      <c r="L195" s="37"/>
      <c r="M195" s="37">
        <v>1.0</v>
      </c>
      <c r="N195" s="37">
        <v>2.0</v>
      </c>
      <c r="O195" s="37"/>
      <c r="P195" s="37"/>
      <c r="Q195" s="37"/>
      <c r="R195" s="38">
        <f>IF(E195="",0,E195*'💰 Prix matériaux'!$B$3)+IF(F195="",0,F195*'💰 Prix matériaux'!$B$4)+IF(G195="",0,G195*'💰 Prix matériaux'!$B$5)+IF(H195="",0,H195*'💰 Prix matériaux'!$B$6)+IF(I195="",0,I195*'💰 Prix matériaux'!$B$7)+IF(J195="",0,J195*'💰 Prix matériaux'!$B$8)+IF(K195="",0,K195*'💰 Prix matériaux'!$B$9)+IF(L195="",0,L195*'💰 Prix matériaux'!$B$10)+IF(M195="",0,M195*'💰 Prix matériaux'!$B$11)+IF(N195="",0,N195*'💰 Prix matériaux'!$B$12)+IF(O195="",0,O195*'💰 Prix matériaux'!$B$13)+IF(P195="",0,P195*'💰 Prix matériaux'!$B$15)+IF(Q195="",0,Q195*'💰 Prix matériaux'!$B$16)</f>
        <v>64</v>
      </c>
      <c r="S195" s="39">
        <f t="shared" si="31"/>
        <v>144</v>
      </c>
    </row>
    <row r="196" ht="18.0" customHeight="1">
      <c r="A196" s="33" t="s">
        <v>210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1"/>
    </row>
    <row r="197" ht="15.75" customHeight="1">
      <c r="A197" s="117" t="s">
        <v>211</v>
      </c>
      <c r="B197" s="118" t="s">
        <v>212</v>
      </c>
      <c r="C197" s="36" t="s">
        <v>75</v>
      </c>
      <c r="D197" s="92">
        <v>80.0</v>
      </c>
      <c r="E197" s="37">
        <v>1.0</v>
      </c>
      <c r="F197" s="37"/>
      <c r="G197" s="37"/>
      <c r="H197" s="37"/>
      <c r="I197" s="37"/>
      <c r="J197" s="37">
        <v>4.0</v>
      </c>
      <c r="K197" s="37"/>
      <c r="L197" s="37"/>
      <c r="M197" s="37">
        <v>1.0</v>
      </c>
      <c r="N197" s="37">
        <v>3.0</v>
      </c>
      <c r="O197" s="37"/>
      <c r="P197" s="37"/>
      <c r="Q197" s="37"/>
      <c r="R197" s="38">
        <f>IF(E197="",0,E197*'💰 Prix matériaux'!$B$3)+IF(F197="",0,F197*'💰 Prix matériaux'!$B$4)+IF(G197="",0,G197*'💰 Prix matériaux'!$B$5)+IF(H197="",0,H197*'💰 Prix matériaux'!$B$6)+IF(I197="",0,I197*'💰 Prix matériaux'!$B$7)+IF(J197="",0,J197*'💰 Prix matériaux'!$B$8)+IF(K197="",0,K197*'💰 Prix matériaux'!$B$9)+IF(L197="",0,L197*'💰 Prix matériaux'!$B$10)+IF(M197="",0,M197*'💰 Prix matériaux'!$B$11)+IF(N197="",0,N197*'💰 Prix matériaux'!$B$12)+IF(O197="",0,O197*'💰 Prix matériaux'!$B$13)+IF(P197="",0,P197*'💰 Prix matériaux'!$B$15)+IF(Q197="",0,Q197*'💰 Prix matériaux'!$B$16)</f>
        <v>107</v>
      </c>
      <c r="S197" s="39">
        <f t="shared" ref="S197:S201" si="32">D197+R197</f>
        <v>187</v>
      </c>
    </row>
    <row r="198" ht="15.75" customHeight="1">
      <c r="A198" s="117" t="s">
        <v>211</v>
      </c>
      <c r="B198" s="118" t="s">
        <v>213</v>
      </c>
      <c r="C198" s="36" t="s">
        <v>75</v>
      </c>
      <c r="D198" s="92">
        <v>80.0</v>
      </c>
      <c r="E198" s="37">
        <v>1.0</v>
      </c>
      <c r="F198" s="37"/>
      <c r="G198" s="37"/>
      <c r="H198" s="37"/>
      <c r="I198" s="37"/>
      <c r="J198" s="37">
        <v>2.0</v>
      </c>
      <c r="K198" s="37"/>
      <c r="L198" s="37"/>
      <c r="M198" s="37">
        <v>1.0</v>
      </c>
      <c r="N198" s="37">
        <v>1.0</v>
      </c>
      <c r="O198" s="37"/>
      <c r="P198" s="37"/>
      <c r="Q198" s="37"/>
      <c r="R198" s="38">
        <f>IF(E198="",0,E198*'💰 Prix matériaux'!$B$3)+IF(F198="",0,F198*'💰 Prix matériaux'!$B$4)+IF(G198="",0,G198*'💰 Prix matériaux'!$B$5)+IF(H198="",0,H198*'💰 Prix matériaux'!$B$6)+IF(I198="",0,I198*'💰 Prix matériaux'!$B$7)+IF(J198="",0,J198*'💰 Prix matériaux'!$B$8)+IF(K198="",0,K198*'💰 Prix matériaux'!$B$9)+IF(L198="",0,L198*'💰 Prix matériaux'!$B$10)+IF(M198="",0,M198*'💰 Prix matériaux'!$B$11)+IF(N198="",0,N198*'💰 Prix matériaux'!$B$12)+IF(O198="",0,O198*'💰 Prix matériaux'!$B$13)+IF(P198="",0,P198*'💰 Prix matériaux'!$B$15)+IF(Q198="",0,Q198*'💰 Prix matériaux'!$B$16)</f>
        <v>57</v>
      </c>
      <c r="S198" s="39">
        <f t="shared" si="32"/>
        <v>137</v>
      </c>
    </row>
    <row r="199" ht="15.75" customHeight="1">
      <c r="A199" s="117" t="s">
        <v>211</v>
      </c>
      <c r="B199" s="118" t="s">
        <v>214</v>
      </c>
      <c r="C199" s="36" t="s">
        <v>75</v>
      </c>
      <c r="D199" s="92">
        <v>80.0</v>
      </c>
      <c r="E199" s="37">
        <v>1.0</v>
      </c>
      <c r="F199" s="37"/>
      <c r="G199" s="37"/>
      <c r="H199" s="37"/>
      <c r="I199" s="37"/>
      <c r="J199" s="37">
        <v>1.0</v>
      </c>
      <c r="K199" s="37"/>
      <c r="L199" s="37"/>
      <c r="M199" s="37">
        <v>1.0</v>
      </c>
      <c r="N199" s="37">
        <v>2.0</v>
      </c>
      <c r="O199" s="37"/>
      <c r="P199" s="37"/>
      <c r="Q199" s="37"/>
      <c r="R199" s="38">
        <f>IF(E199="",0,E199*'💰 Prix matériaux'!$B$3)+IF(F199="",0,F199*'💰 Prix matériaux'!$B$4)+IF(G199="",0,G199*'💰 Prix matériaux'!$B$5)+IF(H199="",0,H199*'💰 Prix matériaux'!$B$6)+IF(I199="",0,I199*'💰 Prix matériaux'!$B$7)+IF(J199="",0,J199*'💰 Prix matériaux'!$B$8)+IF(K199="",0,K199*'💰 Prix matériaux'!$B$9)+IF(L199="",0,L199*'💰 Prix matériaux'!$B$10)+IF(M199="",0,M199*'💰 Prix matériaux'!$B$11)+IF(N199="",0,N199*'💰 Prix matériaux'!$B$12)+IF(O199="",0,O199*'💰 Prix matériaux'!$B$13)+IF(P199="",0,P199*'💰 Prix matériaux'!$B$15)+IF(Q199="",0,Q199*'💰 Prix matériaux'!$B$16)</f>
        <v>34</v>
      </c>
      <c r="S199" s="39">
        <f t="shared" si="32"/>
        <v>114</v>
      </c>
    </row>
    <row r="200" ht="15.75" customHeight="1">
      <c r="A200" s="117" t="s">
        <v>211</v>
      </c>
      <c r="B200" s="118" t="s">
        <v>215</v>
      </c>
      <c r="C200" s="36" t="s">
        <v>75</v>
      </c>
      <c r="D200" s="92">
        <v>80.0</v>
      </c>
      <c r="E200" s="37">
        <v>1.0</v>
      </c>
      <c r="F200" s="37"/>
      <c r="G200" s="37"/>
      <c r="H200" s="37"/>
      <c r="I200" s="37"/>
      <c r="J200" s="37">
        <v>2.0</v>
      </c>
      <c r="K200" s="37"/>
      <c r="L200" s="37"/>
      <c r="M200" s="37">
        <v>1.0</v>
      </c>
      <c r="N200" s="37">
        <v>2.0</v>
      </c>
      <c r="O200" s="37"/>
      <c r="P200" s="37"/>
      <c r="Q200" s="37"/>
      <c r="R200" s="38">
        <f>IF(E200="",0,E200*'💰 Prix matériaux'!$B$3)+IF(F200="",0,F200*'💰 Prix matériaux'!$B$4)+IF(G200="",0,G200*'💰 Prix matériaux'!$B$5)+IF(H200="",0,H200*'💰 Prix matériaux'!$B$6)+IF(I200="",0,I200*'💰 Prix matériaux'!$B$7)+IF(J200="",0,J200*'💰 Prix matériaux'!$B$8)+IF(K200="",0,K200*'💰 Prix matériaux'!$B$9)+IF(L200="",0,L200*'💰 Prix matériaux'!$B$10)+IF(M200="",0,M200*'💰 Prix matériaux'!$B$11)+IF(N200="",0,N200*'💰 Prix matériaux'!$B$12)+IF(O200="",0,O200*'💰 Prix matériaux'!$B$13)+IF(P200="",0,P200*'💰 Prix matériaux'!$B$15)+IF(Q200="",0,Q200*'💰 Prix matériaux'!$B$16)</f>
        <v>58</v>
      </c>
      <c r="S200" s="39">
        <f t="shared" si="32"/>
        <v>138</v>
      </c>
    </row>
    <row r="201" ht="15.75" customHeight="1">
      <c r="A201" s="117" t="s">
        <v>211</v>
      </c>
      <c r="B201" s="118" t="s">
        <v>216</v>
      </c>
      <c r="C201" s="36" t="s">
        <v>75</v>
      </c>
      <c r="D201" s="92">
        <v>80.0</v>
      </c>
      <c r="E201" s="37">
        <v>1.0</v>
      </c>
      <c r="F201" s="37"/>
      <c r="G201" s="37"/>
      <c r="H201" s="37"/>
      <c r="I201" s="37"/>
      <c r="J201" s="37">
        <v>4.0</v>
      </c>
      <c r="K201" s="37"/>
      <c r="L201" s="37"/>
      <c r="M201" s="37"/>
      <c r="N201" s="37">
        <v>2.0</v>
      </c>
      <c r="O201" s="37"/>
      <c r="P201" s="37"/>
      <c r="Q201" s="37"/>
      <c r="R201" s="38">
        <f>IF(E201="",0,E201*'💰 Prix matériaux'!$B$3)+IF(F201="",0,F201*'💰 Prix matériaux'!$B$4)+IF(G201="",0,G201*'💰 Prix matériaux'!$B$5)+IF(H201="",0,H201*'💰 Prix matériaux'!$B$6)+IF(I201="",0,I201*'💰 Prix matériaux'!$B$7)+IF(J201="",0,J201*'💰 Prix matériaux'!$B$8)+IF(K201="",0,K201*'💰 Prix matériaux'!$B$9)+IF(L201="",0,L201*'💰 Prix matériaux'!$B$10)+IF(M201="",0,M201*'💰 Prix matériaux'!$B$11)+IF(N201="",0,N201*'💰 Prix matériaux'!$B$12)+IF(O201="",0,O201*'💰 Prix matériaux'!$B$13)+IF(P201="",0,P201*'💰 Prix matériaux'!$B$15)+IF(Q201="",0,Q201*'💰 Prix matériaux'!$B$16)</f>
        <v>102</v>
      </c>
      <c r="S201" s="39">
        <f t="shared" si="32"/>
        <v>182</v>
      </c>
    </row>
    <row r="202" ht="18.0" customHeight="1">
      <c r="A202" s="33" t="s">
        <v>217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1"/>
    </row>
    <row r="203" ht="15.75" customHeight="1">
      <c r="A203" s="119" t="s">
        <v>218</v>
      </c>
      <c r="B203" s="120" t="s">
        <v>219</v>
      </c>
      <c r="C203" s="36" t="s">
        <v>75</v>
      </c>
      <c r="D203" s="92">
        <v>80.0</v>
      </c>
      <c r="E203" s="37">
        <v>1.0</v>
      </c>
      <c r="F203" s="37"/>
      <c r="G203" s="37"/>
      <c r="H203" s="37">
        <v>1.0</v>
      </c>
      <c r="I203" s="37"/>
      <c r="J203" s="37">
        <v>4.0</v>
      </c>
      <c r="K203" s="37"/>
      <c r="L203" s="37"/>
      <c r="M203" s="37"/>
      <c r="N203" s="37">
        <v>3.0</v>
      </c>
      <c r="O203" s="37"/>
      <c r="P203" s="37"/>
      <c r="Q203" s="37"/>
      <c r="R203" s="38">
        <f>IF(E203="",0,E203*'💰 Prix matériaux'!$B$3)+IF(F203="",0,F203*'💰 Prix matériaux'!$B$4)+IF(G203="",0,G203*'💰 Prix matériaux'!$B$5)+IF(H203="",0,H203*'💰 Prix matériaux'!$B$6)+IF(I203="",0,I203*'💰 Prix matériaux'!$B$7)+IF(J203="",0,J203*'💰 Prix matériaux'!$B$8)+IF(K203="",0,K203*'💰 Prix matériaux'!$B$9)+IF(L203="",0,L203*'💰 Prix matériaux'!$B$10)+IF(M203="",0,M203*'💰 Prix matériaux'!$B$11)+IF(N203="",0,N203*'💰 Prix matériaux'!$B$12)+IF(O203="",0,O203*'💰 Prix matériaux'!$B$13)+IF(P203="",0,P203*'💰 Prix matériaux'!$B$15)+IF(Q203="",0,Q203*'💰 Prix matériaux'!$B$16)</f>
        <v>129</v>
      </c>
      <c r="S203" s="39">
        <f>D203+R203</f>
        <v>209</v>
      </c>
    </row>
  </sheetData>
  <mergeCells count="42">
    <mergeCell ref="A1:S1"/>
    <mergeCell ref="A3:S3"/>
    <mergeCell ref="A7:S7"/>
    <mergeCell ref="A9:S9"/>
    <mergeCell ref="A19:S19"/>
    <mergeCell ref="A25:S25"/>
    <mergeCell ref="A31:S31"/>
    <mergeCell ref="A37:S37"/>
    <mergeCell ref="A41:S41"/>
    <mergeCell ref="A47:S47"/>
    <mergeCell ref="A52:S52"/>
    <mergeCell ref="A57:S57"/>
    <mergeCell ref="A63:S63"/>
    <mergeCell ref="A65:S65"/>
    <mergeCell ref="A67:S67"/>
    <mergeCell ref="A73:S73"/>
    <mergeCell ref="A78:S78"/>
    <mergeCell ref="A82:S82"/>
    <mergeCell ref="A85:S85"/>
    <mergeCell ref="A88:S88"/>
    <mergeCell ref="A91:S91"/>
    <mergeCell ref="A93:S93"/>
    <mergeCell ref="A95:S95"/>
    <mergeCell ref="A97:S97"/>
    <mergeCell ref="A99:S99"/>
    <mergeCell ref="A103:S103"/>
    <mergeCell ref="A108:S108"/>
    <mergeCell ref="A114:S114"/>
    <mergeCell ref="A171:S171"/>
    <mergeCell ref="A177:S177"/>
    <mergeCell ref="A182:S182"/>
    <mergeCell ref="A187:S187"/>
    <mergeCell ref="A191:S191"/>
    <mergeCell ref="A196:S196"/>
    <mergeCell ref="A202:S202"/>
    <mergeCell ref="A120:S120"/>
    <mergeCell ref="A126:S126"/>
    <mergeCell ref="A131:S131"/>
    <mergeCell ref="A137:S137"/>
    <mergeCell ref="A142:S142"/>
    <mergeCell ref="A144:S144"/>
    <mergeCell ref="A165:S16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CC71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20.0"/>
    <col customWidth="1" min="4" max="26" width="8.71"/>
  </cols>
  <sheetData>
    <row r="1" ht="25.5" customHeight="1">
      <c r="A1" s="121"/>
      <c r="B1" s="2"/>
      <c r="C1" s="3"/>
    </row>
    <row r="2" ht="15.0" customHeight="1">
      <c r="A2" s="4" t="s">
        <v>220</v>
      </c>
      <c r="B2" s="4" t="s">
        <v>221</v>
      </c>
      <c r="C2" s="4" t="s">
        <v>1</v>
      </c>
    </row>
    <row r="3" ht="15.0" customHeight="1">
      <c r="A3" s="122" t="s">
        <v>222</v>
      </c>
      <c r="B3" s="123">
        <v>4.0</v>
      </c>
      <c r="C3" s="124" t="s">
        <v>223</v>
      </c>
    </row>
    <row r="4" ht="15.0" customHeight="1">
      <c r="A4" s="122" t="s">
        <v>224</v>
      </c>
      <c r="B4" s="123">
        <v>7.0</v>
      </c>
      <c r="C4" s="124" t="s">
        <v>223</v>
      </c>
    </row>
    <row r="5" ht="15.0" customHeight="1">
      <c r="A5" s="122" t="s">
        <v>225</v>
      </c>
      <c r="B5" s="123">
        <v>20.0</v>
      </c>
      <c r="C5" s="124" t="s">
        <v>223</v>
      </c>
    </row>
    <row r="6" ht="15.0" customHeight="1">
      <c r="A6" s="122" t="s">
        <v>226</v>
      </c>
      <c r="B6" s="123">
        <v>26.0</v>
      </c>
      <c r="C6" s="124" t="s">
        <v>223</v>
      </c>
    </row>
    <row r="7" ht="15.0" customHeight="1">
      <c r="A7" s="122" t="s">
        <v>227</v>
      </c>
      <c r="B7" s="123">
        <v>50.0</v>
      </c>
      <c r="C7" s="124" t="s">
        <v>223</v>
      </c>
    </row>
    <row r="8" ht="15.0" customHeight="1">
      <c r="A8" s="125" t="s">
        <v>228</v>
      </c>
      <c r="B8" s="126">
        <v>24.0</v>
      </c>
      <c r="C8" s="127" t="s">
        <v>229</v>
      </c>
    </row>
    <row r="9" ht="15.0" customHeight="1">
      <c r="A9" s="125" t="s">
        <v>230</v>
      </c>
      <c r="B9" s="126">
        <v>6.0</v>
      </c>
      <c r="C9" s="127" t="s">
        <v>229</v>
      </c>
    </row>
    <row r="10" ht="15.0" customHeight="1">
      <c r="A10" s="128" t="s">
        <v>11</v>
      </c>
      <c r="B10" s="129">
        <v>1.0</v>
      </c>
      <c r="C10" s="130" t="s">
        <v>231</v>
      </c>
    </row>
    <row r="11" ht="15.0" customHeight="1">
      <c r="A11" s="128" t="s">
        <v>12</v>
      </c>
      <c r="B11" s="129">
        <v>4.0</v>
      </c>
      <c r="C11" s="130" t="s">
        <v>231</v>
      </c>
    </row>
    <row r="12" ht="15.0" customHeight="1">
      <c r="A12" s="128" t="s">
        <v>232</v>
      </c>
      <c r="B12" s="129">
        <v>1.0</v>
      </c>
      <c r="C12" s="130" t="s">
        <v>231</v>
      </c>
    </row>
    <row r="13" ht="15.0" customHeight="1">
      <c r="A13" s="122" t="s">
        <v>233</v>
      </c>
      <c r="B13" s="123">
        <v>0.0</v>
      </c>
      <c r="C13" s="124" t="s">
        <v>223</v>
      </c>
    </row>
    <row r="14" ht="15.0" customHeight="1">
      <c r="A14" s="122" t="s">
        <v>234</v>
      </c>
      <c r="B14" s="123">
        <v>0.0</v>
      </c>
      <c r="C14" s="124" t="s">
        <v>223</v>
      </c>
    </row>
    <row r="15" ht="15.0" customHeight="1">
      <c r="A15" s="125" t="s">
        <v>235</v>
      </c>
      <c r="B15" s="126">
        <v>80.0</v>
      </c>
      <c r="C15" s="127" t="s">
        <v>229</v>
      </c>
    </row>
    <row r="16" ht="15.0" customHeight="1">
      <c r="A16" s="125" t="s">
        <v>236</v>
      </c>
      <c r="B16" s="126">
        <v>80.0</v>
      </c>
      <c r="C16" s="127" t="s">
        <v>229</v>
      </c>
    </row>
    <row r="17" ht="15.0" customHeight="1">
      <c r="A17" s="131" t="s">
        <v>237</v>
      </c>
      <c r="B17" s="132">
        <v>0.5</v>
      </c>
      <c r="C17" s="133" t="s">
        <v>238</v>
      </c>
    </row>
    <row r="18" ht="15.0" customHeight="1">
      <c r="A18" s="131" t="s">
        <v>239</v>
      </c>
      <c r="B18" s="132">
        <v>1.0</v>
      </c>
      <c r="C18" s="133" t="s">
        <v>238</v>
      </c>
    </row>
    <row r="19" ht="15.0" customHeight="1">
      <c r="A19" s="131" t="s">
        <v>240</v>
      </c>
      <c r="B19" s="132">
        <v>2.0</v>
      </c>
      <c r="C19" s="133" t="s">
        <v>238</v>
      </c>
    </row>
    <row r="20" ht="15.0" customHeight="1">
      <c r="A20" s="131" t="s">
        <v>241</v>
      </c>
      <c r="B20" s="132">
        <v>3.0</v>
      </c>
      <c r="C20" s="133" t="s">
        <v>238</v>
      </c>
    </row>
    <row r="21" ht="15.75" customHeight="1">
      <c r="A21" s="28"/>
      <c r="B21" s="28"/>
      <c r="C21" s="28"/>
    </row>
    <row r="22" ht="15.75" customHeight="1">
      <c r="A22" s="28"/>
      <c r="B22" s="28"/>
      <c r="C22" s="28"/>
    </row>
    <row r="23" ht="15.75" customHeight="1">
      <c r="A23" s="28"/>
      <c r="B23" s="28"/>
      <c r="C23" s="28"/>
    </row>
    <row r="24" ht="15.75" customHeight="1">
      <c r="A24" s="28"/>
      <c r="B24" s="28"/>
      <c r="C24" s="28"/>
    </row>
    <row r="25" ht="15.75" customHeight="1">
      <c r="A25" s="28"/>
      <c r="B25" s="28"/>
      <c r="C25" s="28"/>
    </row>
    <row r="26" ht="15.75" customHeight="1">
      <c r="A26" s="28"/>
      <c r="B26" s="28"/>
      <c r="C26" s="28"/>
    </row>
    <row r="27" ht="15.75" customHeight="1">
      <c r="A27" s="28"/>
      <c r="B27" s="28"/>
      <c r="C27" s="28"/>
    </row>
    <row r="28" ht="15.75" customHeight="1">
      <c r="A28" s="28"/>
      <c r="B28" s="28"/>
      <c r="C28" s="28"/>
    </row>
    <row r="29" ht="15.75" customHeight="1">
      <c r="A29" s="28"/>
      <c r="B29" s="28"/>
      <c r="C29" s="28"/>
    </row>
    <row r="30" ht="15.75" customHeight="1">
      <c r="A30" s="28"/>
      <c r="B30" s="28"/>
      <c r="C30" s="28"/>
    </row>
    <row r="31" ht="15.75" customHeight="1">
      <c r="A31" s="28"/>
      <c r="B31" s="28"/>
      <c r="C31" s="28"/>
    </row>
    <row r="32" ht="15.75" customHeight="1">
      <c r="A32" s="28"/>
      <c r="B32" s="28"/>
      <c r="C32" s="28"/>
    </row>
    <row r="33" ht="15.75" customHeight="1">
      <c r="A33" s="28"/>
      <c r="B33" s="28"/>
      <c r="C33" s="28"/>
    </row>
    <row r="34" ht="15.75" customHeight="1">
      <c r="A34" s="28"/>
      <c r="B34" s="28"/>
      <c r="C34" s="28"/>
    </row>
    <row r="35" ht="15.75" customHeight="1">
      <c r="A35" s="28"/>
      <c r="B35" s="28"/>
      <c r="C35" s="28"/>
    </row>
    <row r="36" ht="15.75" customHeight="1">
      <c r="A36" s="28"/>
      <c r="B36" s="28"/>
      <c r="C36" s="28"/>
    </row>
    <row r="37" ht="15.75" customHeight="1">
      <c r="A37" s="28"/>
      <c r="B37" s="28"/>
      <c r="C37" s="28"/>
    </row>
    <row r="38" ht="15.75" customHeight="1">
      <c r="A38" s="28"/>
      <c r="B38" s="28"/>
      <c r="C38" s="28"/>
    </row>
    <row r="39" ht="15.75" customHeight="1">
      <c r="A39" s="28"/>
      <c r="B39" s="28"/>
      <c r="C39" s="28"/>
    </row>
    <row r="40" ht="15.75" customHeight="1">
      <c r="A40" s="28"/>
      <c r="B40" s="28"/>
      <c r="C40" s="28"/>
    </row>
    <row r="41" ht="15.75" customHeight="1">
      <c r="A41" s="28"/>
      <c r="B41" s="28"/>
      <c r="C41" s="28"/>
    </row>
    <row r="42" ht="15.75" customHeight="1">
      <c r="A42" s="28"/>
      <c r="B42" s="28"/>
      <c r="C42" s="28"/>
    </row>
    <row r="43" ht="15.75" customHeight="1">
      <c r="A43" s="28"/>
      <c r="B43" s="28"/>
      <c r="C43" s="28"/>
    </row>
    <row r="44" ht="15.75" customHeight="1">
      <c r="A44" s="28"/>
      <c r="B44" s="28"/>
      <c r="C44" s="28"/>
    </row>
    <row r="45" ht="15.75" customHeight="1">
      <c r="A45" s="28"/>
      <c r="B45" s="28"/>
      <c r="C45" s="28"/>
    </row>
    <row r="46" ht="15.75" customHeight="1">
      <c r="A46" s="28"/>
      <c r="B46" s="28"/>
      <c r="C46" s="28"/>
    </row>
    <row r="47" ht="15.75" customHeight="1">
      <c r="A47" s="28"/>
      <c r="B47" s="28"/>
      <c r="C47" s="28"/>
    </row>
    <row r="48" ht="15.75" customHeight="1">
      <c r="A48" s="28"/>
      <c r="B48" s="28"/>
      <c r="C48" s="28"/>
    </row>
    <row r="49" ht="15.75" customHeight="1">
      <c r="A49" s="28"/>
      <c r="B49" s="28"/>
      <c r="C49" s="28"/>
    </row>
    <row r="50" ht="15.75" customHeight="1">
      <c r="A50" s="28"/>
      <c r="B50" s="28"/>
      <c r="C50" s="28"/>
    </row>
    <row r="51" ht="15.75" customHeight="1">
      <c r="A51" s="28"/>
      <c r="B51" s="28"/>
      <c r="C51" s="28"/>
    </row>
    <row r="52" ht="15.75" customHeight="1">
      <c r="A52" s="28"/>
      <c r="B52" s="28"/>
      <c r="C52" s="28"/>
    </row>
    <row r="53" ht="15.75" customHeight="1">
      <c r="A53" s="28"/>
      <c r="B53" s="28"/>
      <c r="C53" s="28"/>
    </row>
    <row r="54" ht="15.75" customHeight="1">
      <c r="A54" s="28"/>
      <c r="B54" s="28"/>
      <c r="C54" s="28"/>
    </row>
    <row r="55" ht="15.75" customHeight="1">
      <c r="A55" s="28"/>
      <c r="B55" s="28"/>
      <c r="C55" s="28"/>
    </row>
    <row r="56" ht="15.75" customHeight="1">
      <c r="A56" s="28"/>
      <c r="B56" s="28"/>
      <c r="C56" s="28"/>
    </row>
    <row r="57" ht="15.75" customHeight="1">
      <c r="A57" s="28"/>
      <c r="B57" s="28"/>
      <c r="C57" s="28"/>
    </row>
    <row r="58" ht="15.75" customHeight="1">
      <c r="A58" s="28"/>
      <c r="B58" s="28"/>
      <c r="C58" s="28"/>
    </row>
    <row r="59" ht="15.75" customHeight="1">
      <c r="A59" s="28"/>
      <c r="B59" s="28"/>
      <c r="C59" s="28"/>
    </row>
    <row r="60" ht="15.75" customHeight="1">
      <c r="A60" s="28"/>
      <c r="B60" s="28"/>
      <c r="C60" s="28"/>
    </row>
    <row r="61" ht="15.75" customHeight="1">
      <c r="A61" s="28"/>
      <c r="B61" s="28"/>
      <c r="C61" s="28"/>
    </row>
    <row r="62" ht="15.75" customHeight="1">
      <c r="A62" s="28"/>
      <c r="B62" s="28"/>
      <c r="C62" s="28"/>
    </row>
    <row r="63" ht="15.75" customHeight="1">
      <c r="A63" s="28"/>
      <c r="B63" s="28"/>
      <c r="C63" s="28"/>
    </row>
    <row r="64" ht="15.75" customHeight="1">
      <c r="A64" s="28"/>
      <c r="B64" s="28"/>
      <c r="C64" s="28"/>
    </row>
    <row r="65" ht="15.75" customHeight="1">
      <c r="A65" s="28"/>
      <c r="B65" s="28"/>
      <c r="C65" s="28"/>
    </row>
    <row r="66" ht="15.75" customHeight="1">
      <c r="A66" s="28"/>
      <c r="B66" s="28"/>
      <c r="C66" s="28"/>
    </row>
    <row r="67" ht="15.75" customHeight="1">
      <c r="A67" s="28"/>
      <c r="B67" s="28"/>
      <c r="C67" s="28"/>
    </row>
    <row r="68" ht="15.75" customHeight="1">
      <c r="A68" s="28"/>
      <c r="B68" s="28"/>
      <c r="C68" s="28"/>
    </row>
    <row r="69" ht="15.75" customHeight="1">
      <c r="A69" s="28"/>
      <c r="B69" s="28"/>
      <c r="C69" s="28"/>
    </row>
    <row r="70" ht="15.75" customHeight="1">
      <c r="A70" s="28"/>
      <c r="B70" s="28"/>
      <c r="C70" s="28"/>
    </row>
    <row r="71" ht="15.75" customHeight="1">
      <c r="A71" s="28"/>
      <c r="B71" s="28"/>
      <c r="C71" s="28"/>
    </row>
    <row r="72" ht="15.75" customHeight="1">
      <c r="A72" s="28"/>
      <c r="B72" s="28"/>
      <c r="C72" s="28"/>
    </row>
    <row r="73" ht="15.75" customHeight="1">
      <c r="A73" s="28"/>
      <c r="B73" s="28"/>
      <c r="C73" s="28"/>
    </row>
    <row r="74" ht="15.75" customHeight="1">
      <c r="A74" s="28"/>
      <c r="B74" s="28"/>
      <c r="C74" s="28"/>
    </row>
    <row r="75" ht="15.75" customHeight="1">
      <c r="A75" s="28"/>
      <c r="B75" s="28"/>
      <c r="C75" s="28"/>
    </row>
    <row r="76" ht="15.75" customHeight="1">
      <c r="A76" s="28"/>
      <c r="B76" s="28"/>
      <c r="C76" s="28"/>
    </row>
    <row r="77" ht="15.75" customHeight="1">
      <c r="A77" s="28"/>
      <c r="B77" s="28"/>
      <c r="C77" s="28"/>
    </row>
    <row r="78" ht="15.75" customHeight="1">
      <c r="A78" s="28"/>
      <c r="B78" s="28"/>
      <c r="C78" s="28"/>
    </row>
    <row r="79" ht="15.75" customHeight="1">
      <c r="A79" s="28"/>
      <c r="B79" s="28"/>
      <c r="C79" s="28"/>
    </row>
    <row r="80" ht="15.75" customHeight="1">
      <c r="A80" s="28"/>
      <c r="B80" s="28"/>
      <c r="C80" s="28"/>
    </row>
    <row r="81" ht="15.75" customHeight="1">
      <c r="A81" s="28"/>
      <c r="B81" s="28"/>
      <c r="C81" s="28"/>
    </row>
    <row r="82" ht="15.75" customHeight="1">
      <c r="A82" s="28"/>
      <c r="B82" s="28"/>
      <c r="C82" s="28"/>
    </row>
    <row r="83" ht="15.75" customHeight="1">
      <c r="A83" s="28"/>
      <c r="B83" s="28"/>
      <c r="C83" s="28"/>
    </row>
    <row r="84" ht="15.75" customHeight="1">
      <c r="A84" s="28"/>
      <c r="B84" s="28"/>
      <c r="C84" s="28"/>
    </row>
    <row r="85" ht="15.75" customHeight="1">
      <c r="A85" s="28"/>
      <c r="B85" s="28"/>
      <c r="C85" s="28"/>
    </row>
    <row r="86" ht="15.75" customHeight="1">
      <c r="A86" s="28"/>
      <c r="B86" s="28"/>
      <c r="C86" s="28"/>
    </row>
    <row r="87" ht="15.75" customHeight="1">
      <c r="A87" s="28"/>
      <c r="B87" s="28"/>
      <c r="C87" s="28"/>
    </row>
    <row r="88" ht="15.75" customHeight="1">
      <c r="A88" s="28"/>
      <c r="B88" s="28"/>
      <c r="C88" s="28"/>
    </row>
    <row r="89" ht="15.75" customHeight="1">
      <c r="A89" s="28"/>
      <c r="B89" s="28"/>
      <c r="C89" s="28"/>
    </row>
    <row r="90" ht="15.75" customHeight="1">
      <c r="A90" s="28"/>
      <c r="B90" s="28"/>
      <c r="C90" s="28"/>
    </row>
    <row r="91" ht="15.75" customHeight="1">
      <c r="A91" s="28"/>
      <c r="B91" s="28"/>
      <c r="C91" s="28"/>
    </row>
    <row r="92" ht="15.75" customHeight="1">
      <c r="A92" s="28"/>
      <c r="B92" s="28"/>
      <c r="C92" s="28"/>
    </row>
    <row r="93" ht="15.75" customHeight="1">
      <c r="A93" s="28"/>
      <c r="B93" s="28"/>
      <c r="C93" s="28"/>
    </row>
    <row r="94" ht="15.75" customHeight="1">
      <c r="A94" s="28"/>
      <c r="B94" s="28"/>
      <c r="C94" s="28"/>
    </row>
    <row r="95" ht="15.75" customHeight="1">
      <c r="A95" s="28"/>
      <c r="B95" s="28"/>
      <c r="C95" s="28"/>
    </row>
    <row r="96" ht="15.75" customHeight="1">
      <c r="A96" s="28"/>
      <c r="B96" s="28"/>
      <c r="C96" s="28"/>
    </row>
    <row r="97" ht="15.75" customHeight="1">
      <c r="A97" s="28"/>
      <c r="B97" s="28"/>
      <c r="C97" s="28"/>
    </row>
    <row r="98" ht="15.75" customHeight="1">
      <c r="A98" s="28"/>
      <c r="B98" s="28"/>
      <c r="C98" s="28"/>
    </row>
    <row r="99" ht="15.75" customHeight="1">
      <c r="A99" s="28"/>
      <c r="B99" s="28"/>
      <c r="C99" s="28"/>
    </row>
    <row r="100" ht="15.75" customHeight="1">
      <c r="A100" s="28"/>
      <c r="B100" s="28"/>
      <c r="C100" s="28"/>
    </row>
    <row r="101" ht="15.75" customHeight="1">
      <c r="A101" s="28"/>
      <c r="B101" s="28"/>
      <c r="C101" s="28"/>
    </row>
    <row r="102" ht="15.75" customHeight="1">
      <c r="A102" s="28"/>
      <c r="B102" s="28"/>
      <c r="C102" s="28"/>
    </row>
    <row r="103" ht="15.75" customHeight="1">
      <c r="A103" s="28"/>
      <c r="B103" s="28"/>
      <c r="C103" s="28"/>
    </row>
    <row r="104" ht="15.75" customHeight="1">
      <c r="A104" s="28"/>
      <c r="B104" s="28"/>
      <c r="C104" s="28"/>
    </row>
    <row r="105" ht="15.75" customHeight="1">
      <c r="A105" s="28"/>
      <c r="B105" s="28"/>
      <c r="C105" s="28"/>
    </row>
    <row r="106" ht="15.75" customHeight="1">
      <c r="A106" s="28"/>
      <c r="B106" s="28"/>
      <c r="C106" s="28"/>
    </row>
    <row r="107" ht="15.75" customHeight="1">
      <c r="A107" s="28"/>
      <c r="B107" s="28"/>
      <c r="C107" s="28"/>
    </row>
    <row r="108" ht="15.75" customHeight="1">
      <c r="A108" s="28"/>
      <c r="B108" s="28"/>
      <c r="C108" s="28"/>
    </row>
    <row r="109" ht="15.75" customHeight="1">
      <c r="A109" s="28"/>
      <c r="B109" s="28"/>
      <c r="C109" s="28"/>
    </row>
    <row r="110" ht="15.75" customHeight="1">
      <c r="A110" s="28"/>
      <c r="B110" s="28"/>
      <c r="C110" s="28"/>
    </row>
    <row r="111" ht="15.75" customHeight="1">
      <c r="A111" s="28"/>
      <c r="B111" s="28"/>
      <c r="C111" s="28"/>
    </row>
    <row r="112" ht="15.75" customHeight="1">
      <c r="A112" s="28"/>
      <c r="B112" s="28"/>
      <c r="C112" s="28"/>
    </row>
    <row r="113" ht="15.75" customHeight="1">
      <c r="A113" s="28"/>
      <c r="B113" s="28"/>
      <c r="C113" s="28"/>
    </row>
    <row r="114" ht="15.75" customHeight="1">
      <c r="A114" s="28"/>
      <c r="B114" s="28"/>
      <c r="C114" s="28"/>
    </row>
    <row r="115" ht="15.75" customHeight="1">
      <c r="A115" s="28"/>
      <c r="B115" s="28"/>
      <c r="C115" s="28"/>
    </row>
    <row r="116" ht="15.75" customHeight="1">
      <c r="A116" s="28"/>
      <c r="B116" s="28"/>
      <c r="C116" s="28"/>
    </row>
    <row r="117" ht="15.75" customHeight="1">
      <c r="A117" s="28"/>
      <c r="B117" s="28"/>
      <c r="C117" s="28"/>
    </row>
    <row r="118" ht="15.75" customHeight="1">
      <c r="A118" s="28"/>
      <c r="B118" s="28"/>
      <c r="C118" s="28"/>
    </row>
    <row r="119" ht="15.75" customHeight="1">
      <c r="A119" s="28"/>
      <c r="B119" s="28"/>
      <c r="C119" s="28"/>
    </row>
    <row r="120" ht="15.75" customHeight="1">
      <c r="A120" s="28"/>
      <c r="B120" s="28"/>
      <c r="C120" s="28"/>
    </row>
    <row r="121" ht="15.75" customHeight="1">
      <c r="A121" s="28"/>
      <c r="B121" s="28"/>
      <c r="C121" s="28"/>
    </row>
    <row r="122" ht="15.75" customHeight="1">
      <c r="A122" s="28"/>
      <c r="B122" s="28"/>
      <c r="C122" s="28"/>
    </row>
    <row r="123" ht="15.75" customHeight="1">
      <c r="A123" s="28"/>
      <c r="B123" s="28"/>
      <c r="C123" s="28"/>
    </row>
    <row r="124" ht="15.75" customHeight="1">
      <c r="A124" s="28"/>
      <c r="B124" s="28"/>
      <c r="C124" s="28"/>
    </row>
    <row r="125" ht="15.75" customHeight="1">
      <c r="A125" s="28"/>
      <c r="B125" s="28"/>
      <c r="C125" s="28"/>
    </row>
    <row r="126" ht="15.75" customHeight="1">
      <c r="A126" s="28"/>
      <c r="B126" s="28"/>
      <c r="C126" s="28"/>
    </row>
    <row r="127" ht="15.75" customHeight="1">
      <c r="A127" s="28"/>
      <c r="B127" s="28"/>
      <c r="C127" s="28"/>
    </row>
    <row r="128" ht="15.75" customHeight="1">
      <c r="A128" s="28"/>
      <c r="B128" s="28"/>
      <c r="C128" s="28"/>
    </row>
    <row r="129" ht="15.75" customHeight="1">
      <c r="A129" s="28"/>
      <c r="B129" s="28"/>
      <c r="C129" s="28"/>
    </row>
    <row r="130" ht="15.75" customHeight="1">
      <c r="A130" s="28"/>
      <c r="B130" s="28"/>
      <c r="C130" s="28"/>
    </row>
    <row r="131" ht="15.75" customHeight="1">
      <c r="A131" s="28"/>
      <c r="B131" s="28"/>
      <c r="C131" s="28"/>
    </row>
    <row r="132" ht="15.75" customHeight="1">
      <c r="A132" s="28"/>
      <c r="B132" s="28"/>
      <c r="C132" s="28"/>
    </row>
    <row r="133" ht="15.75" customHeight="1">
      <c r="A133" s="28"/>
      <c r="B133" s="28"/>
      <c r="C133" s="28"/>
    </row>
    <row r="134" ht="15.75" customHeight="1">
      <c r="A134" s="28"/>
      <c r="B134" s="28"/>
      <c r="C134" s="28"/>
    </row>
    <row r="135" ht="15.75" customHeight="1">
      <c r="A135" s="28"/>
      <c r="B135" s="28"/>
      <c r="C135" s="28"/>
    </row>
    <row r="136" ht="15.75" customHeight="1">
      <c r="A136" s="28"/>
      <c r="B136" s="28"/>
      <c r="C136" s="28"/>
    </row>
    <row r="137" ht="15.75" customHeight="1">
      <c r="A137" s="28"/>
      <c r="B137" s="28"/>
      <c r="C137" s="28"/>
    </row>
    <row r="138" ht="15.75" customHeight="1">
      <c r="A138" s="28"/>
      <c r="B138" s="28"/>
      <c r="C138" s="28"/>
    </row>
    <row r="139" ht="15.75" customHeight="1">
      <c r="A139" s="28"/>
      <c r="B139" s="28"/>
      <c r="C139" s="28"/>
    </row>
    <row r="140" ht="15.75" customHeight="1">
      <c r="A140" s="28"/>
      <c r="B140" s="28"/>
      <c r="C140" s="28"/>
    </row>
    <row r="141" ht="15.75" customHeight="1">
      <c r="A141" s="28"/>
      <c r="B141" s="28"/>
      <c r="C141" s="28"/>
    </row>
    <row r="142" ht="15.75" customHeight="1">
      <c r="A142" s="28"/>
      <c r="B142" s="28"/>
      <c r="C142" s="28"/>
    </row>
    <row r="143" ht="15.75" customHeight="1">
      <c r="A143" s="28"/>
      <c r="B143" s="28"/>
      <c r="C143" s="28"/>
    </row>
    <row r="144" ht="15.75" customHeight="1">
      <c r="A144" s="28"/>
      <c r="B144" s="28"/>
      <c r="C144" s="28"/>
    </row>
    <row r="145" ht="15.75" customHeight="1">
      <c r="A145" s="28"/>
      <c r="B145" s="28"/>
      <c r="C145" s="28"/>
    </row>
    <row r="146" ht="15.75" customHeight="1">
      <c r="A146" s="28"/>
      <c r="B146" s="28"/>
      <c r="C146" s="28"/>
    </row>
    <row r="147" ht="15.75" customHeight="1">
      <c r="A147" s="28"/>
      <c r="B147" s="28"/>
      <c r="C147" s="28"/>
    </row>
    <row r="148" ht="15.75" customHeight="1">
      <c r="A148" s="28"/>
      <c r="B148" s="28"/>
      <c r="C148" s="28"/>
    </row>
    <row r="149" ht="15.75" customHeight="1">
      <c r="A149" s="28"/>
      <c r="B149" s="28"/>
      <c r="C149" s="28"/>
    </row>
    <row r="150" ht="15.75" customHeight="1">
      <c r="A150" s="28"/>
      <c r="B150" s="28"/>
      <c r="C150" s="28"/>
    </row>
    <row r="151" ht="15.75" customHeight="1">
      <c r="A151" s="28"/>
      <c r="B151" s="28"/>
      <c r="C151" s="28"/>
    </row>
    <row r="152" ht="15.75" customHeight="1">
      <c r="A152" s="28"/>
      <c r="B152" s="28"/>
      <c r="C152" s="28"/>
    </row>
    <row r="153" ht="15.75" customHeight="1">
      <c r="A153" s="28"/>
      <c r="B153" s="28"/>
      <c r="C153" s="28"/>
    </row>
    <row r="154" ht="15.75" customHeight="1">
      <c r="A154" s="28"/>
      <c r="B154" s="28"/>
      <c r="C154" s="28"/>
    </row>
    <row r="155" ht="15.75" customHeight="1">
      <c r="A155" s="28"/>
      <c r="B155" s="28"/>
      <c r="C155" s="28"/>
    </row>
    <row r="156" ht="15.75" customHeight="1">
      <c r="A156" s="28"/>
      <c r="B156" s="28"/>
      <c r="C156" s="28"/>
    </row>
    <row r="157" ht="15.75" customHeight="1">
      <c r="A157" s="28"/>
      <c r="B157" s="28"/>
      <c r="C157" s="28"/>
    </row>
    <row r="158" ht="15.75" customHeight="1">
      <c r="A158" s="28"/>
      <c r="B158" s="28"/>
      <c r="C158" s="28"/>
    </row>
    <row r="159" ht="15.75" customHeight="1">
      <c r="A159" s="28"/>
      <c r="B159" s="28"/>
      <c r="C159" s="28"/>
    </row>
    <row r="160" ht="15.75" customHeight="1">
      <c r="A160" s="28"/>
      <c r="B160" s="28"/>
      <c r="C160" s="28"/>
    </row>
    <row r="161" ht="15.75" customHeight="1">
      <c r="A161" s="28"/>
      <c r="B161" s="28"/>
      <c r="C161" s="28"/>
    </row>
    <row r="162" ht="15.75" customHeight="1">
      <c r="A162" s="28"/>
      <c r="B162" s="28"/>
      <c r="C162" s="28"/>
    </row>
    <row r="163" ht="15.75" customHeight="1">
      <c r="A163" s="28"/>
      <c r="B163" s="28"/>
      <c r="C163" s="28"/>
    </row>
    <row r="164" ht="15.75" customHeight="1">
      <c r="A164" s="28"/>
      <c r="B164" s="28"/>
      <c r="C164" s="28"/>
    </row>
    <row r="165" ht="15.75" customHeight="1">
      <c r="A165" s="28"/>
      <c r="B165" s="28"/>
      <c r="C165" s="28"/>
    </row>
    <row r="166" ht="15.75" customHeight="1">
      <c r="A166" s="28"/>
      <c r="B166" s="28"/>
      <c r="C166" s="28"/>
    </row>
    <row r="167" ht="15.75" customHeight="1">
      <c r="A167" s="28"/>
      <c r="B167" s="28"/>
      <c r="C167" s="28"/>
    </row>
    <row r="168" ht="15.75" customHeight="1">
      <c r="A168" s="28"/>
      <c r="B168" s="28"/>
      <c r="C168" s="28"/>
    </row>
    <row r="169" ht="15.75" customHeight="1">
      <c r="A169" s="28"/>
      <c r="B169" s="28"/>
      <c r="C169" s="28"/>
    </row>
    <row r="170" ht="15.75" customHeight="1">
      <c r="A170" s="28"/>
      <c r="B170" s="28"/>
      <c r="C170" s="28"/>
    </row>
    <row r="171" ht="15.75" customHeight="1">
      <c r="A171" s="28"/>
      <c r="B171" s="28"/>
      <c r="C171" s="28"/>
    </row>
    <row r="172" ht="15.75" customHeight="1">
      <c r="A172" s="28"/>
      <c r="B172" s="28"/>
      <c r="C172" s="28"/>
    </row>
    <row r="173" ht="15.75" customHeight="1">
      <c r="A173" s="28"/>
      <c r="B173" s="28"/>
      <c r="C173" s="28"/>
    </row>
    <row r="174" ht="15.75" customHeight="1">
      <c r="A174" s="28"/>
      <c r="B174" s="28"/>
      <c r="C174" s="28"/>
    </row>
    <row r="175" ht="15.75" customHeight="1">
      <c r="A175" s="28"/>
      <c r="B175" s="28"/>
      <c r="C175" s="28"/>
    </row>
    <row r="176" ht="15.75" customHeight="1">
      <c r="A176" s="28"/>
      <c r="B176" s="28"/>
      <c r="C176" s="28"/>
    </row>
    <row r="177" ht="15.75" customHeight="1">
      <c r="A177" s="28"/>
      <c r="B177" s="28"/>
      <c r="C177" s="28"/>
    </row>
    <row r="178" ht="15.75" customHeight="1">
      <c r="A178" s="28"/>
      <c r="B178" s="28"/>
      <c r="C178" s="28"/>
    </row>
    <row r="179" ht="15.75" customHeight="1">
      <c r="A179" s="28"/>
      <c r="B179" s="28"/>
      <c r="C179" s="28"/>
    </row>
    <row r="180" ht="15.75" customHeight="1">
      <c r="A180" s="28"/>
      <c r="B180" s="28"/>
      <c r="C180" s="28"/>
    </row>
    <row r="181" ht="15.75" customHeight="1">
      <c r="A181" s="28"/>
      <c r="B181" s="28"/>
      <c r="C181" s="28"/>
    </row>
    <row r="182" ht="15.75" customHeight="1">
      <c r="A182" s="28"/>
      <c r="B182" s="28"/>
      <c r="C182" s="28"/>
    </row>
    <row r="183" ht="15.75" customHeight="1">
      <c r="A183" s="28"/>
      <c r="B183" s="28"/>
      <c r="C183" s="28"/>
    </row>
    <row r="184" ht="15.75" customHeight="1">
      <c r="A184" s="28"/>
      <c r="B184" s="28"/>
      <c r="C184" s="28"/>
    </row>
    <row r="185" ht="15.75" customHeight="1">
      <c r="A185" s="28"/>
      <c r="B185" s="28"/>
      <c r="C185" s="28"/>
    </row>
    <row r="186" ht="15.75" customHeight="1">
      <c r="A186" s="28"/>
      <c r="B186" s="28"/>
      <c r="C186" s="28"/>
    </row>
    <row r="187" ht="15.75" customHeight="1">
      <c r="A187" s="28"/>
      <c r="B187" s="28"/>
      <c r="C187" s="28"/>
    </row>
    <row r="188" ht="15.75" customHeight="1">
      <c r="A188" s="28"/>
      <c r="B188" s="28"/>
      <c r="C188" s="28"/>
    </row>
    <row r="189" ht="15.75" customHeight="1">
      <c r="A189" s="28"/>
      <c r="B189" s="28"/>
      <c r="C189" s="28"/>
    </row>
    <row r="190" ht="15.75" customHeight="1">
      <c r="A190" s="28"/>
      <c r="B190" s="28"/>
      <c r="C190" s="28"/>
    </row>
    <row r="191" ht="15.75" customHeight="1">
      <c r="A191" s="28"/>
      <c r="B191" s="28"/>
      <c r="C191" s="28"/>
    </row>
    <row r="192" ht="15.75" customHeight="1">
      <c r="A192" s="28"/>
      <c r="B192" s="28"/>
      <c r="C192" s="28"/>
    </row>
    <row r="193" ht="15.75" customHeight="1">
      <c r="A193" s="28"/>
      <c r="B193" s="28"/>
      <c r="C193" s="28"/>
    </row>
    <row r="194" ht="15.75" customHeight="1">
      <c r="A194" s="28"/>
      <c r="B194" s="28"/>
      <c r="C194" s="28"/>
    </row>
    <row r="195" ht="15.75" customHeight="1">
      <c r="A195" s="28"/>
      <c r="B195" s="28"/>
      <c r="C195" s="28"/>
    </row>
    <row r="196" ht="15.75" customHeight="1">
      <c r="A196" s="28"/>
      <c r="B196" s="28"/>
      <c r="C196" s="28"/>
    </row>
    <row r="197" ht="15.75" customHeight="1">
      <c r="A197" s="28"/>
      <c r="B197" s="28"/>
      <c r="C197" s="28"/>
    </row>
    <row r="198" ht="15.75" customHeight="1">
      <c r="A198" s="28"/>
      <c r="B198" s="28"/>
      <c r="C198" s="28"/>
    </row>
    <row r="199" ht="15.75" customHeight="1">
      <c r="A199" s="28"/>
      <c r="B199" s="28"/>
      <c r="C199" s="28"/>
    </row>
    <row r="200" ht="15.75" customHeight="1">
      <c r="A200" s="28"/>
      <c r="B200" s="28"/>
      <c r="C200" s="28"/>
    </row>
    <row r="201" ht="15.75" customHeight="1">
      <c r="A201" s="28"/>
      <c r="B201" s="28"/>
      <c r="C201" s="28"/>
    </row>
    <row r="202" ht="15.75" customHeight="1">
      <c r="A202" s="28"/>
      <c r="B202" s="28"/>
      <c r="C202" s="28"/>
    </row>
    <row r="203" ht="15.75" customHeight="1">
      <c r="A203" s="28"/>
      <c r="B203" s="28"/>
      <c r="C203" s="28"/>
    </row>
    <row r="204" ht="15.75" customHeight="1">
      <c r="A204" s="28"/>
      <c r="B204" s="28"/>
      <c r="C204" s="28"/>
    </row>
    <row r="205" ht="15.75" customHeight="1">
      <c r="A205" s="28"/>
      <c r="B205" s="28"/>
      <c r="C205" s="28"/>
    </row>
    <row r="206" ht="15.75" customHeight="1">
      <c r="A206" s="28"/>
      <c r="B206" s="28"/>
      <c r="C206" s="28"/>
    </row>
    <row r="207" ht="15.75" customHeight="1">
      <c r="A207" s="28"/>
      <c r="B207" s="28"/>
      <c r="C207" s="28"/>
    </row>
    <row r="208" ht="15.75" customHeight="1">
      <c r="A208" s="28"/>
      <c r="B208" s="28"/>
      <c r="C208" s="28"/>
    </row>
    <row r="209" ht="15.75" customHeight="1">
      <c r="A209" s="28"/>
      <c r="B209" s="28"/>
      <c r="C209" s="28"/>
    </row>
    <row r="210" ht="15.75" customHeight="1">
      <c r="A210" s="28"/>
      <c r="B210" s="28"/>
      <c r="C210" s="28"/>
    </row>
    <row r="211" ht="15.75" customHeight="1">
      <c r="A211" s="28"/>
      <c r="B211" s="28"/>
      <c r="C211" s="28"/>
    </row>
    <row r="212" ht="15.75" customHeight="1">
      <c r="A212" s="28"/>
      <c r="B212" s="28"/>
      <c r="C212" s="28"/>
    </row>
    <row r="213" ht="15.75" customHeight="1">
      <c r="A213" s="28"/>
      <c r="B213" s="28"/>
      <c r="C213" s="28"/>
    </row>
    <row r="214" ht="15.75" customHeight="1">
      <c r="A214" s="28"/>
      <c r="B214" s="28"/>
      <c r="C214" s="28"/>
    </row>
    <row r="215" ht="15.75" customHeight="1">
      <c r="A215" s="28"/>
      <c r="B215" s="28"/>
      <c r="C215" s="28"/>
    </row>
    <row r="216" ht="15.75" customHeight="1">
      <c r="A216" s="28"/>
      <c r="B216" s="28"/>
      <c r="C216" s="28"/>
    </row>
    <row r="217" ht="15.75" customHeight="1">
      <c r="A217" s="28"/>
      <c r="B217" s="28"/>
      <c r="C217" s="28"/>
    </row>
    <row r="218" ht="15.75" customHeight="1">
      <c r="A218" s="28"/>
      <c r="B218" s="28"/>
      <c r="C218" s="28"/>
    </row>
    <row r="219" ht="15.75" customHeight="1">
      <c r="A219" s="28"/>
      <c r="B219" s="28"/>
      <c r="C219" s="28"/>
    </row>
    <row r="220" ht="15.75" customHeight="1">
      <c r="A220" s="28"/>
      <c r="B220" s="28"/>
      <c r="C220" s="28"/>
    </row>
    <row r="221" ht="15.75" customHeight="1">
      <c r="A221" s="28"/>
      <c r="B221" s="28"/>
      <c r="C221" s="28"/>
    </row>
    <row r="222" ht="15.75" customHeight="1">
      <c r="A222" s="28"/>
      <c r="B222" s="28"/>
      <c r="C222" s="28"/>
    </row>
    <row r="223" ht="15.75" customHeight="1">
      <c r="A223" s="28"/>
      <c r="B223" s="28"/>
      <c r="C223" s="28"/>
    </row>
    <row r="224" ht="15.75" customHeight="1">
      <c r="A224" s="28"/>
      <c r="B224" s="28"/>
      <c r="C224" s="28"/>
    </row>
    <row r="225" ht="15.75" customHeight="1">
      <c r="A225" s="28"/>
      <c r="B225" s="28"/>
      <c r="C225" s="28"/>
    </row>
    <row r="226" ht="15.75" customHeight="1">
      <c r="A226" s="28"/>
      <c r="B226" s="28"/>
      <c r="C226" s="28"/>
    </row>
    <row r="227" ht="15.75" customHeight="1">
      <c r="A227" s="28"/>
      <c r="B227" s="28"/>
      <c r="C227" s="28"/>
    </row>
    <row r="228" ht="15.75" customHeight="1">
      <c r="A228" s="28"/>
      <c r="B228" s="28"/>
      <c r="C228" s="28"/>
    </row>
    <row r="229" ht="15.75" customHeight="1">
      <c r="A229" s="28"/>
      <c r="B229" s="28"/>
      <c r="C229" s="28"/>
    </row>
    <row r="230" ht="15.75" customHeight="1">
      <c r="A230" s="28"/>
      <c r="B230" s="28"/>
      <c r="C230" s="28"/>
    </row>
    <row r="231" ht="15.75" customHeight="1">
      <c r="A231" s="28"/>
      <c r="B231" s="28"/>
      <c r="C231" s="28"/>
    </row>
    <row r="232" ht="15.75" customHeight="1">
      <c r="A232" s="28"/>
      <c r="B232" s="28"/>
      <c r="C232" s="28"/>
    </row>
    <row r="233" ht="15.75" customHeight="1">
      <c r="A233" s="28"/>
      <c r="B233" s="28"/>
      <c r="C233" s="28"/>
    </row>
    <row r="234" ht="15.75" customHeight="1">
      <c r="A234" s="28"/>
      <c r="B234" s="28"/>
      <c r="C234" s="28"/>
    </row>
    <row r="235" ht="15.75" customHeight="1">
      <c r="A235" s="28"/>
      <c r="B235" s="28"/>
      <c r="C235" s="28"/>
    </row>
    <row r="236" ht="15.75" customHeight="1">
      <c r="A236" s="28"/>
      <c r="B236" s="28"/>
      <c r="C236" s="28"/>
    </row>
    <row r="237" ht="15.75" customHeight="1">
      <c r="A237" s="28"/>
      <c r="B237" s="28"/>
      <c r="C237" s="28"/>
    </row>
    <row r="238" ht="15.75" customHeight="1">
      <c r="A238" s="28"/>
      <c r="B238" s="28"/>
      <c r="C238" s="28"/>
    </row>
    <row r="239" ht="15.75" customHeight="1">
      <c r="A239" s="28"/>
      <c r="B239" s="28"/>
      <c r="C239" s="28"/>
    </row>
    <row r="240" ht="15.75" customHeight="1">
      <c r="A240" s="28"/>
      <c r="B240" s="28"/>
      <c r="C240" s="28"/>
    </row>
    <row r="241" ht="15.75" customHeight="1">
      <c r="A241" s="28"/>
      <c r="B241" s="28"/>
      <c r="C241" s="28"/>
    </row>
    <row r="242" ht="15.75" customHeight="1">
      <c r="A242" s="28"/>
      <c r="B242" s="28"/>
      <c r="C242" s="28"/>
    </row>
    <row r="243" ht="15.75" customHeight="1">
      <c r="A243" s="28"/>
      <c r="B243" s="28"/>
      <c r="C243" s="28"/>
    </row>
    <row r="244" ht="15.75" customHeight="1">
      <c r="A244" s="28"/>
      <c r="B244" s="28"/>
      <c r="C244" s="28"/>
    </row>
    <row r="245" ht="15.75" customHeight="1">
      <c r="A245" s="28"/>
      <c r="B245" s="28"/>
      <c r="C245" s="28"/>
    </row>
    <row r="246" ht="15.75" customHeight="1">
      <c r="A246" s="28"/>
      <c r="B246" s="28"/>
      <c r="C246" s="28"/>
    </row>
    <row r="247" ht="15.75" customHeight="1">
      <c r="A247" s="28"/>
      <c r="B247" s="28"/>
      <c r="C247" s="28"/>
    </row>
    <row r="248" ht="15.75" customHeight="1">
      <c r="A248" s="28"/>
      <c r="B248" s="28"/>
      <c r="C248" s="28"/>
    </row>
    <row r="249" ht="15.75" customHeight="1">
      <c r="A249" s="28"/>
      <c r="B249" s="28"/>
      <c r="C249" s="28"/>
    </row>
    <row r="250" ht="15.75" customHeight="1">
      <c r="A250" s="28"/>
      <c r="B250" s="28"/>
      <c r="C250" s="28"/>
    </row>
    <row r="251" ht="15.75" customHeight="1">
      <c r="A251" s="28"/>
      <c r="B251" s="28"/>
      <c r="C251" s="28"/>
    </row>
    <row r="252" ht="15.75" customHeight="1">
      <c r="A252" s="28"/>
      <c r="B252" s="28"/>
      <c r="C252" s="28"/>
    </row>
    <row r="253" ht="15.75" customHeight="1">
      <c r="A253" s="28"/>
      <c r="B253" s="28"/>
      <c r="C253" s="28"/>
    </row>
    <row r="254" ht="15.75" customHeight="1">
      <c r="A254" s="28"/>
      <c r="B254" s="28"/>
      <c r="C254" s="28"/>
    </row>
    <row r="255" ht="15.75" customHeight="1">
      <c r="A255" s="28"/>
      <c r="B255" s="28"/>
      <c r="C255" s="28"/>
    </row>
    <row r="256" ht="15.75" customHeight="1">
      <c r="A256" s="28"/>
      <c r="B256" s="28"/>
      <c r="C256" s="28"/>
    </row>
    <row r="257" ht="15.75" customHeight="1">
      <c r="A257" s="28"/>
      <c r="B257" s="28"/>
      <c r="C257" s="28"/>
    </row>
    <row r="258" ht="15.75" customHeight="1">
      <c r="A258" s="28"/>
      <c r="B258" s="28"/>
      <c r="C258" s="28"/>
    </row>
    <row r="259" ht="15.75" customHeight="1">
      <c r="A259" s="28"/>
      <c r="B259" s="28"/>
      <c r="C259" s="28"/>
    </row>
    <row r="260" ht="15.75" customHeight="1">
      <c r="A260" s="28"/>
      <c r="B260" s="28"/>
      <c r="C260" s="28"/>
    </row>
    <row r="261" ht="15.75" customHeight="1">
      <c r="A261" s="28"/>
      <c r="B261" s="28"/>
      <c r="C261" s="28"/>
    </row>
    <row r="262" ht="15.75" customHeight="1">
      <c r="A262" s="28"/>
      <c r="B262" s="28"/>
      <c r="C262" s="28"/>
    </row>
    <row r="263" ht="15.75" customHeight="1">
      <c r="A263" s="28"/>
      <c r="B263" s="28"/>
      <c r="C263" s="28"/>
    </row>
    <row r="264" ht="15.75" customHeight="1">
      <c r="A264" s="28"/>
      <c r="B264" s="28"/>
      <c r="C264" s="28"/>
    </row>
    <row r="265" ht="15.75" customHeight="1">
      <c r="A265" s="28"/>
      <c r="B265" s="28"/>
      <c r="C265" s="28"/>
    </row>
    <row r="266" ht="15.75" customHeight="1">
      <c r="A266" s="28"/>
      <c r="B266" s="28"/>
      <c r="C266" s="28"/>
    </row>
    <row r="267" ht="15.75" customHeight="1">
      <c r="A267" s="28"/>
      <c r="B267" s="28"/>
      <c r="C267" s="28"/>
    </row>
    <row r="268" ht="15.75" customHeight="1">
      <c r="A268" s="28"/>
      <c r="B268" s="28"/>
      <c r="C268" s="28"/>
    </row>
    <row r="269" ht="15.75" customHeight="1">
      <c r="A269" s="28"/>
      <c r="B269" s="28"/>
      <c r="C269" s="28"/>
    </row>
    <row r="270" ht="15.75" customHeight="1">
      <c r="A270" s="28"/>
      <c r="B270" s="28"/>
      <c r="C270" s="28"/>
    </row>
    <row r="271" ht="15.75" customHeight="1">
      <c r="A271" s="28"/>
      <c r="B271" s="28"/>
      <c r="C271" s="28"/>
    </row>
    <row r="272" ht="15.75" customHeight="1">
      <c r="A272" s="28"/>
      <c r="B272" s="28"/>
      <c r="C272" s="28"/>
    </row>
    <row r="273" ht="15.75" customHeight="1">
      <c r="A273" s="28"/>
      <c r="B273" s="28"/>
      <c r="C273" s="28"/>
    </row>
    <row r="274" ht="15.75" customHeight="1">
      <c r="A274" s="28"/>
      <c r="B274" s="28"/>
      <c r="C274" s="28"/>
    </row>
    <row r="275" ht="15.75" customHeight="1">
      <c r="A275" s="28"/>
      <c r="B275" s="28"/>
      <c r="C275" s="28"/>
    </row>
    <row r="276" ht="15.75" customHeight="1">
      <c r="A276" s="28"/>
      <c r="B276" s="28"/>
      <c r="C276" s="28"/>
    </row>
    <row r="277" ht="15.75" customHeight="1">
      <c r="A277" s="28"/>
      <c r="B277" s="28"/>
      <c r="C277" s="28"/>
    </row>
    <row r="278" ht="15.75" customHeight="1">
      <c r="A278" s="28"/>
      <c r="B278" s="28"/>
      <c r="C278" s="28"/>
    </row>
    <row r="279" ht="15.75" customHeight="1">
      <c r="A279" s="28"/>
      <c r="B279" s="28"/>
      <c r="C279" s="28"/>
    </row>
    <row r="280" ht="15.75" customHeight="1">
      <c r="A280" s="28"/>
      <c r="B280" s="28"/>
      <c r="C280" s="28"/>
    </row>
    <row r="281" ht="15.75" customHeight="1">
      <c r="A281" s="28"/>
      <c r="B281" s="28"/>
      <c r="C281" s="28"/>
    </row>
    <row r="282" ht="15.75" customHeight="1">
      <c r="A282" s="28"/>
      <c r="B282" s="28"/>
      <c r="C282" s="28"/>
    </row>
    <row r="283" ht="15.75" customHeight="1">
      <c r="A283" s="28"/>
      <c r="B283" s="28"/>
      <c r="C283" s="28"/>
    </row>
    <row r="284" ht="15.75" customHeight="1">
      <c r="A284" s="28"/>
      <c r="B284" s="28"/>
      <c r="C284" s="28"/>
    </row>
    <row r="285" ht="15.75" customHeight="1">
      <c r="A285" s="28"/>
      <c r="B285" s="28"/>
      <c r="C285" s="28"/>
    </row>
    <row r="286" ht="15.75" customHeight="1">
      <c r="A286" s="28"/>
      <c r="B286" s="28"/>
      <c r="C286" s="28"/>
    </row>
    <row r="287" ht="15.75" customHeight="1">
      <c r="A287" s="28"/>
      <c r="B287" s="28"/>
      <c r="C287" s="28"/>
    </row>
    <row r="288" ht="15.75" customHeight="1">
      <c r="A288" s="28"/>
      <c r="B288" s="28"/>
      <c r="C288" s="28"/>
    </row>
    <row r="289" ht="15.75" customHeight="1">
      <c r="A289" s="28"/>
      <c r="B289" s="28"/>
      <c r="C289" s="28"/>
    </row>
    <row r="290" ht="15.75" customHeight="1">
      <c r="A290" s="28"/>
      <c r="B290" s="28"/>
      <c r="C290" s="28"/>
    </row>
    <row r="291" ht="15.75" customHeight="1">
      <c r="A291" s="28"/>
      <c r="B291" s="28"/>
      <c r="C291" s="28"/>
    </row>
    <row r="292" ht="15.75" customHeight="1">
      <c r="A292" s="28"/>
      <c r="B292" s="28"/>
      <c r="C292" s="28"/>
    </row>
    <row r="293" ht="15.75" customHeight="1">
      <c r="A293" s="28"/>
      <c r="B293" s="28"/>
      <c r="C293" s="28"/>
    </row>
    <row r="294" ht="15.75" customHeight="1">
      <c r="A294" s="28"/>
      <c r="B294" s="28"/>
      <c r="C294" s="28"/>
    </row>
    <row r="295" ht="15.75" customHeight="1">
      <c r="A295" s="28"/>
      <c r="B295" s="28"/>
      <c r="C295" s="28"/>
    </row>
    <row r="296" ht="15.75" customHeight="1">
      <c r="A296" s="28"/>
      <c r="B296" s="28"/>
      <c r="C296" s="28"/>
    </row>
    <row r="297" ht="15.75" customHeight="1">
      <c r="A297" s="28"/>
      <c r="B297" s="28"/>
      <c r="C297" s="28"/>
    </row>
    <row r="298" ht="15.75" customHeight="1">
      <c r="A298" s="28"/>
      <c r="B298" s="28"/>
      <c r="C298" s="28"/>
    </row>
    <row r="299" ht="15.75" customHeight="1">
      <c r="A299" s="28"/>
      <c r="B299" s="28"/>
      <c r="C299" s="28"/>
    </row>
    <row r="300" ht="15.75" customHeight="1">
      <c r="A300" s="28"/>
      <c r="B300" s="28"/>
      <c r="C300" s="28"/>
    </row>
    <row r="301" ht="15.75" customHeight="1">
      <c r="A301" s="28"/>
      <c r="B301" s="28"/>
      <c r="C301" s="28"/>
    </row>
    <row r="302" ht="15.75" customHeight="1">
      <c r="A302" s="28"/>
      <c r="B302" s="28"/>
      <c r="C302" s="28"/>
    </row>
    <row r="303" ht="15.75" customHeight="1">
      <c r="A303" s="28"/>
      <c r="B303" s="28"/>
      <c r="C303" s="28"/>
    </row>
    <row r="304" ht="15.75" customHeight="1">
      <c r="A304" s="28"/>
      <c r="B304" s="28"/>
      <c r="C304" s="28"/>
    </row>
    <row r="305" ht="15.75" customHeight="1">
      <c r="A305" s="28"/>
      <c r="B305" s="28"/>
      <c r="C305" s="28"/>
    </row>
    <row r="306" ht="15.75" customHeight="1">
      <c r="A306" s="28"/>
      <c r="B306" s="28"/>
      <c r="C306" s="28"/>
    </row>
    <row r="307" ht="15.75" customHeight="1">
      <c r="A307" s="28"/>
      <c r="B307" s="28"/>
      <c r="C307" s="28"/>
    </row>
    <row r="308" ht="15.75" customHeight="1">
      <c r="A308" s="28"/>
      <c r="B308" s="28"/>
      <c r="C308" s="28"/>
    </row>
    <row r="309" ht="15.75" customHeight="1">
      <c r="A309" s="28"/>
      <c r="B309" s="28"/>
      <c r="C309" s="28"/>
    </row>
    <row r="310" ht="15.75" customHeight="1">
      <c r="A310" s="28"/>
      <c r="B310" s="28"/>
      <c r="C310" s="28"/>
    </row>
    <row r="311" ht="15.75" customHeight="1">
      <c r="A311" s="28"/>
      <c r="B311" s="28"/>
      <c r="C311" s="28"/>
    </row>
    <row r="312" ht="15.75" customHeight="1">
      <c r="A312" s="28"/>
      <c r="B312" s="28"/>
      <c r="C312" s="28"/>
    </row>
    <row r="313" ht="15.75" customHeight="1">
      <c r="A313" s="28"/>
      <c r="B313" s="28"/>
      <c r="C313" s="28"/>
    </row>
    <row r="314" ht="15.75" customHeight="1">
      <c r="A314" s="28"/>
      <c r="B314" s="28"/>
      <c r="C314" s="28"/>
    </row>
    <row r="315" ht="15.75" customHeight="1">
      <c r="A315" s="28"/>
      <c r="B315" s="28"/>
      <c r="C315" s="28"/>
    </row>
    <row r="316" ht="15.75" customHeight="1">
      <c r="A316" s="28"/>
      <c r="B316" s="28"/>
      <c r="C316" s="28"/>
    </row>
    <row r="317" ht="15.75" customHeight="1">
      <c r="A317" s="28"/>
      <c r="B317" s="28"/>
      <c r="C317" s="28"/>
    </row>
    <row r="318" ht="15.75" customHeight="1">
      <c r="A318" s="28"/>
      <c r="B318" s="28"/>
      <c r="C318" s="28"/>
    </row>
    <row r="319" ht="15.75" customHeight="1">
      <c r="A319" s="28"/>
      <c r="B319" s="28"/>
      <c r="C319" s="28"/>
    </row>
    <row r="320" ht="15.75" customHeight="1">
      <c r="A320" s="28"/>
      <c r="B320" s="28"/>
      <c r="C320" s="28"/>
    </row>
    <row r="321" ht="15.75" customHeight="1">
      <c r="A321" s="28"/>
      <c r="B321" s="28"/>
      <c r="C321" s="28"/>
    </row>
    <row r="322" ht="15.75" customHeight="1">
      <c r="A322" s="28"/>
      <c r="B322" s="28"/>
      <c r="C322" s="28"/>
    </row>
    <row r="323" ht="15.75" customHeight="1">
      <c r="A323" s="28"/>
      <c r="B323" s="28"/>
      <c r="C323" s="28"/>
    </row>
    <row r="324" ht="15.75" customHeight="1">
      <c r="A324" s="28"/>
      <c r="B324" s="28"/>
      <c r="C324" s="28"/>
    </row>
    <row r="325" ht="15.75" customHeight="1">
      <c r="A325" s="28"/>
      <c r="B325" s="28"/>
      <c r="C325" s="28"/>
    </row>
    <row r="326" ht="15.75" customHeight="1">
      <c r="A326" s="28"/>
      <c r="B326" s="28"/>
      <c r="C326" s="28"/>
    </row>
    <row r="327" ht="15.75" customHeight="1">
      <c r="A327" s="28"/>
      <c r="B327" s="28"/>
      <c r="C327" s="28"/>
    </row>
    <row r="328" ht="15.75" customHeight="1">
      <c r="A328" s="28"/>
      <c r="B328" s="28"/>
      <c r="C328" s="28"/>
    </row>
    <row r="329" ht="15.75" customHeight="1">
      <c r="A329" s="28"/>
      <c r="B329" s="28"/>
      <c r="C329" s="28"/>
    </row>
    <row r="330" ht="15.75" customHeight="1">
      <c r="A330" s="28"/>
      <c r="B330" s="28"/>
      <c r="C330" s="28"/>
    </row>
    <row r="331" ht="15.75" customHeight="1">
      <c r="A331" s="28"/>
      <c r="B331" s="28"/>
      <c r="C331" s="28"/>
    </row>
    <row r="332" ht="15.75" customHeight="1">
      <c r="A332" s="28"/>
      <c r="B332" s="28"/>
      <c r="C332" s="28"/>
    </row>
    <row r="333" ht="15.75" customHeight="1">
      <c r="A333" s="28"/>
      <c r="B333" s="28"/>
      <c r="C333" s="28"/>
    </row>
    <row r="334" ht="15.75" customHeight="1">
      <c r="A334" s="28"/>
      <c r="B334" s="28"/>
      <c r="C334" s="28"/>
    </row>
    <row r="335" ht="15.75" customHeight="1">
      <c r="A335" s="28"/>
      <c r="B335" s="28"/>
      <c r="C335" s="28"/>
    </row>
    <row r="336" ht="15.75" customHeight="1">
      <c r="A336" s="28"/>
      <c r="B336" s="28"/>
      <c r="C336" s="28"/>
    </row>
    <row r="337" ht="15.75" customHeight="1">
      <c r="A337" s="28"/>
      <c r="B337" s="28"/>
      <c r="C337" s="28"/>
    </row>
    <row r="338" ht="15.75" customHeight="1">
      <c r="A338" s="28"/>
      <c r="B338" s="28"/>
      <c r="C338" s="28"/>
    </row>
    <row r="339" ht="15.75" customHeight="1">
      <c r="A339" s="28"/>
      <c r="B339" s="28"/>
      <c r="C339" s="28"/>
    </row>
    <row r="340" ht="15.75" customHeight="1">
      <c r="A340" s="28"/>
      <c r="B340" s="28"/>
      <c r="C340" s="28"/>
    </row>
    <row r="341" ht="15.75" customHeight="1">
      <c r="A341" s="28"/>
      <c r="B341" s="28"/>
      <c r="C341" s="28"/>
    </row>
    <row r="342" ht="15.75" customHeight="1">
      <c r="A342" s="28"/>
      <c r="B342" s="28"/>
      <c r="C342" s="28"/>
    </row>
    <row r="343" ht="15.75" customHeight="1">
      <c r="A343" s="28"/>
      <c r="B343" s="28"/>
      <c r="C343" s="28"/>
    </row>
    <row r="344" ht="15.75" customHeight="1">
      <c r="A344" s="28"/>
      <c r="B344" s="28"/>
      <c r="C344" s="28"/>
    </row>
    <row r="345" ht="15.75" customHeight="1">
      <c r="A345" s="28"/>
      <c r="B345" s="28"/>
      <c r="C345" s="28"/>
    </row>
    <row r="346" ht="15.75" customHeight="1">
      <c r="A346" s="28"/>
      <c r="B346" s="28"/>
      <c r="C346" s="28"/>
    </row>
    <row r="347" ht="15.75" customHeight="1">
      <c r="A347" s="28"/>
      <c r="B347" s="28"/>
      <c r="C347" s="28"/>
    </row>
    <row r="348" ht="15.75" customHeight="1">
      <c r="A348" s="28"/>
      <c r="B348" s="28"/>
      <c r="C348" s="28"/>
    </row>
    <row r="349" ht="15.75" customHeight="1">
      <c r="A349" s="28"/>
      <c r="B349" s="28"/>
      <c r="C349" s="28"/>
    </row>
    <row r="350" ht="15.75" customHeight="1">
      <c r="A350" s="28"/>
      <c r="B350" s="28"/>
      <c r="C350" s="28"/>
    </row>
    <row r="351" ht="15.75" customHeight="1">
      <c r="A351" s="28"/>
      <c r="B351" s="28"/>
      <c r="C351" s="28"/>
    </row>
    <row r="352" ht="15.75" customHeight="1">
      <c r="A352" s="28"/>
      <c r="B352" s="28"/>
      <c r="C352" s="28"/>
    </row>
    <row r="353" ht="15.75" customHeight="1">
      <c r="A353" s="28"/>
      <c r="B353" s="28"/>
      <c r="C353" s="28"/>
    </row>
    <row r="354" ht="15.75" customHeight="1">
      <c r="A354" s="28"/>
      <c r="B354" s="28"/>
      <c r="C354" s="28"/>
    </row>
    <row r="355" ht="15.75" customHeight="1">
      <c r="A355" s="28"/>
      <c r="B355" s="28"/>
      <c r="C355" s="28"/>
    </row>
    <row r="356" ht="15.75" customHeight="1">
      <c r="A356" s="28"/>
      <c r="B356" s="28"/>
      <c r="C356" s="28"/>
    </row>
    <row r="357" ht="15.75" customHeight="1">
      <c r="A357" s="28"/>
      <c r="B357" s="28"/>
      <c r="C357" s="28"/>
    </row>
    <row r="358" ht="15.75" customHeight="1">
      <c r="A358" s="28"/>
      <c r="B358" s="28"/>
      <c r="C358" s="28"/>
    </row>
    <row r="359" ht="15.75" customHeight="1">
      <c r="A359" s="28"/>
      <c r="B359" s="28"/>
      <c r="C359" s="28"/>
    </row>
    <row r="360" ht="15.75" customHeight="1">
      <c r="A360" s="28"/>
      <c r="B360" s="28"/>
      <c r="C360" s="28"/>
    </row>
    <row r="361" ht="15.75" customHeight="1">
      <c r="A361" s="28"/>
      <c r="B361" s="28"/>
      <c r="C361" s="28"/>
    </row>
    <row r="362" ht="15.75" customHeight="1">
      <c r="A362" s="28"/>
      <c r="B362" s="28"/>
      <c r="C362" s="28"/>
    </row>
    <row r="363" ht="15.75" customHeight="1">
      <c r="A363" s="28"/>
      <c r="B363" s="28"/>
      <c r="C363" s="28"/>
    </row>
    <row r="364" ht="15.75" customHeight="1">
      <c r="A364" s="28"/>
      <c r="B364" s="28"/>
      <c r="C364" s="28"/>
    </row>
    <row r="365" ht="15.75" customHeight="1">
      <c r="A365" s="28"/>
      <c r="B365" s="28"/>
      <c r="C365" s="28"/>
    </row>
    <row r="366" ht="15.75" customHeight="1">
      <c r="A366" s="28"/>
      <c r="B366" s="28"/>
      <c r="C366" s="28"/>
    </row>
    <row r="367" ht="15.75" customHeight="1">
      <c r="A367" s="28"/>
      <c r="B367" s="28"/>
      <c r="C367" s="28"/>
    </row>
    <row r="368" ht="15.75" customHeight="1">
      <c r="A368" s="28"/>
      <c r="B368" s="28"/>
      <c r="C368" s="28"/>
    </row>
    <row r="369" ht="15.75" customHeight="1">
      <c r="A369" s="28"/>
      <c r="B369" s="28"/>
      <c r="C369" s="28"/>
    </row>
    <row r="370" ht="15.75" customHeight="1">
      <c r="A370" s="28"/>
      <c r="B370" s="28"/>
      <c r="C370" s="28"/>
    </row>
    <row r="371" ht="15.75" customHeight="1">
      <c r="A371" s="28"/>
      <c r="B371" s="28"/>
      <c r="C371" s="28"/>
    </row>
    <row r="372" ht="15.75" customHeight="1">
      <c r="A372" s="28"/>
      <c r="B372" s="28"/>
      <c r="C372" s="28"/>
    </row>
    <row r="373" ht="15.75" customHeight="1">
      <c r="A373" s="28"/>
      <c r="B373" s="28"/>
      <c r="C373" s="28"/>
    </row>
    <row r="374" ht="15.75" customHeight="1">
      <c r="A374" s="28"/>
      <c r="B374" s="28"/>
      <c r="C374" s="28"/>
    </row>
    <row r="375" ht="15.75" customHeight="1">
      <c r="A375" s="28"/>
      <c r="B375" s="28"/>
      <c r="C375" s="28"/>
    </row>
    <row r="376" ht="15.75" customHeight="1">
      <c r="A376" s="28"/>
      <c r="B376" s="28"/>
      <c r="C376" s="28"/>
    </row>
    <row r="377" ht="15.75" customHeight="1">
      <c r="A377" s="28"/>
      <c r="B377" s="28"/>
      <c r="C377" s="28"/>
    </row>
    <row r="378" ht="15.75" customHeight="1">
      <c r="A378" s="28"/>
      <c r="B378" s="28"/>
      <c r="C378" s="28"/>
    </row>
    <row r="379" ht="15.75" customHeight="1">
      <c r="A379" s="28"/>
      <c r="B379" s="28"/>
      <c r="C379" s="28"/>
    </row>
    <row r="380" ht="15.75" customHeight="1">
      <c r="A380" s="28"/>
      <c r="B380" s="28"/>
      <c r="C380" s="28"/>
    </row>
    <row r="381" ht="15.75" customHeight="1">
      <c r="A381" s="28"/>
      <c r="B381" s="28"/>
      <c r="C381" s="28"/>
    </row>
    <row r="382" ht="15.75" customHeight="1">
      <c r="A382" s="28"/>
      <c r="B382" s="28"/>
      <c r="C382" s="28"/>
    </row>
    <row r="383" ht="15.75" customHeight="1">
      <c r="A383" s="28"/>
      <c r="B383" s="28"/>
      <c r="C383" s="28"/>
    </row>
    <row r="384" ht="15.75" customHeight="1">
      <c r="A384" s="28"/>
      <c r="B384" s="28"/>
      <c r="C384" s="28"/>
    </row>
    <row r="385" ht="15.75" customHeight="1">
      <c r="A385" s="28"/>
      <c r="B385" s="28"/>
      <c r="C385" s="28"/>
    </row>
    <row r="386" ht="15.75" customHeight="1">
      <c r="A386" s="28"/>
      <c r="B386" s="28"/>
      <c r="C386" s="28"/>
    </row>
    <row r="387" ht="15.75" customHeight="1">
      <c r="A387" s="28"/>
      <c r="B387" s="28"/>
      <c r="C387" s="28"/>
    </row>
    <row r="388" ht="15.75" customHeight="1">
      <c r="A388" s="28"/>
      <c r="B388" s="28"/>
      <c r="C388" s="28"/>
    </row>
    <row r="389" ht="15.75" customHeight="1">
      <c r="A389" s="28"/>
      <c r="B389" s="28"/>
      <c r="C389" s="28"/>
    </row>
    <row r="390" ht="15.75" customHeight="1">
      <c r="A390" s="28"/>
      <c r="B390" s="28"/>
      <c r="C390" s="28"/>
    </row>
    <row r="391" ht="15.75" customHeight="1">
      <c r="A391" s="28"/>
      <c r="B391" s="28"/>
      <c r="C391" s="28"/>
    </row>
    <row r="392" ht="15.75" customHeight="1">
      <c r="A392" s="28"/>
      <c r="B392" s="28"/>
      <c r="C392" s="28"/>
    </row>
    <row r="393" ht="15.75" customHeight="1">
      <c r="A393" s="28"/>
      <c r="B393" s="28"/>
      <c r="C393" s="28"/>
    </row>
    <row r="394" ht="15.75" customHeight="1">
      <c r="A394" s="28"/>
      <c r="B394" s="28"/>
      <c r="C394" s="28"/>
    </row>
    <row r="395" ht="15.75" customHeight="1">
      <c r="A395" s="28"/>
      <c r="B395" s="28"/>
      <c r="C395" s="28"/>
    </row>
    <row r="396" ht="15.75" customHeight="1">
      <c r="A396" s="28"/>
      <c r="B396" s="28"/>
      <c r="C396" s="28"/>
    </row>
    <row r="397" ht="15.75" customHeight="1">
      <c r="A397" s="28"/>
      <c r="B397" s="28"/>
      <c r="C397" s="28"/>
    </row>
    <row r="398" ht="15.75" customHeight="1">
      <c r="A398" s="28"/>
      <c r="B398" s="28"/>
      <c r="C398" s="28"/>
    </row>
    <row r="399" ht="15.75" customHeight="1">
      <c r="A399" s="28"/>
      <c r="B399" s="28"/>
      <c r="C399" s="28"/>
    </row>
    <row r="400" ht="15.75" customHeight="1">
      <c r="A400" s="28"/>
      <c r="B400" s="28"/>
      <c r="C400" s="28"/>
    </row>
    <row r="401" ht="15.75" customHeight="1">
      <c r="A401" s="28"/>
      <c r="B401" s="28"/>
      <c r="C401" s="28"/>
    </row>
    <row r="402" ht="15.75" customHeight="1">
      <c r="A402" s="28"/>
      <c r="B402" s="28"/>
      <c r="C402" s="28"/>
    </row>
    <row r="403" ht="15.75" customHeight="1">
      <c r="A403" s="28"/>
      <c r="B403" s="28"/>
      <c r="C403" s="28"/>
    </row>
    <row r="404" ht="15.75" customHeight="1">
      <c r="A404" s="28"/>
      <c r="B404" s="28"/>
      <c r="C404" s="28"/>
    </row>
    <row r="405" ht="15.75" customHeight="1">
      <c r="A405" s="28"/>
      <c r="B405" s="28"/>
      <c r="C405" s="28"/>
    </row>
    <row r="406" ht="15.75" customHeight="1">
      <c r="A406" s="28"/>
      <c r="B406" s="28"/>
      <c r="C406" s="28"/>
    </row>
    <row r="407" ht="15.75" customHeight="1">
      <c r="A407" s="28"/>
      <c r="B407" s="28"/>
      <c r="C407" s="28"/>
    </row>
    <row r="408" ht="15.75" customHeight="1">
      <c r="A408" s="28"/>
      <c r="B408" s="28"/>
      <c r="C408" s="28"/>
    </row>
    <row r="409" ht="15.75" customHeight="1">
      <c r="A409" s="28"/>
      <c r="B409" s="28"/>
      <c r="C409" s="28"/>
    </row>
    <row r="410" ht="15.75" customHeight="1">
      <c r="A410" s="28"/>
      <c r="B410" s="28"/>
      <c r="C410" s="28"/>
    </row>
    <row r="411" ht="15.75" customHeight="1">
      <c r="A411" s="28"/>
      <c r="B411" s="28"/>
      <c r="C411" s="28"/>
    </row>
    <row r="412" ht="15.75" customHeight="1">
      <c r="A412" s="28"/>
      <c r="B412" s="28"/>
      <c r="C412" s="28"/>
    </row>
    <row r="413" ht="15.75" customHeight="1">
      <c r="A413" s="28"/>
      <c r="B413" s="28"/>
      <c r="C413" s="28"/>
    </row>
    <row r="414" ht="15.75" customHeight="1">
      <c r="A414" s="28"/>
      <c r="B414" s="28"/>
      <c r="C414" s="28"/>
    </row>
    <row r="415" ht="15.75" customHeight="1">
      <c r="A415" s="28"/>
      <c r="B415" s="28"/>
      <c r="C415" s="28"/>
    </row>
    <row r="416" ht="15.75" customHeight="1">
      <c r="A416" s="28"/>
      <c r="B416" s="28"/>
      <c r="C416" s="28"/>
    </row>
    <row r="417" ht="15.75" customHeight="1">
      <c r="A417" s="28"/>
      <c r="B417" s="28"/>
      <c r="C417" s="28"/>
    </row>
    <row r="418" ht="15.75" customHeight="1">
      <c r="A418" s="28"/>
      <c r="B418" s="28"/>
      <c r="C418" s="28"/>
    </row>
    <row r="419" ht="15.75" customHeight="1">
      <c r="A419" s="28"/>
      <c r="B419" s="28"/>
      <c r="C419" s="28"/>
    </row>
    <row r="420" ht="15.75" customHeight="1">
      <c r="A420" s="28"/>
      <c r="B420" s="28"/>
      <c r="C420" s="28"/>
    </row>
    <row r="421" ht="15.75" customHeight="1">
      <c r="A421" s="28"/>
      <c r="B421" s="28"/>
      <c r="C421" s="28"/>
    </row>
    <row r="422" ht="15.75" customHeight="1">
      <c r="A422" s="28"/>
      <c r="B422" s="28"/>
      <c r="C422" s="28"/>
    </row>
    <row r="423" ht="15.75" customHeight="1">
      <c r="A423" s="28"/>
      <c r="B423" s="28"/>
      <c r="C423" s="28"/>
    </row>
    <row r="424" ht="15.75" customHeight="1">
      <c r="A424" s="28"/>
      <c r="B424" s="28"/>
      <c r="C424" s="28"/>
    </row>
    <row r="425" ht="15.75" customHeight="1">
      <c r="A425" s="28"/>
      <c r="B425" s="28"/>
      <c r="C425" s="28"/>
    </row>
    <row r="426" ht="15.75" customHeight="1">
      <c r="A426" s="28"/>
      <c r="B426" s="28"/>
      <c r="C426" s="28"/>
    </row>
    <row r="427" ht="15.75" customHeight="1">
      <c r="A427" s="28"/>
      <c r="B427" s="28"/>
      <c r="C427" s="28"/>
    </row>
    <row r="428" ht="15.75" customHeight="1">
      <c r="A428" s="28"/>
      <c r="B428" s="28"/>
      <c r="C428" s="28"/>
    </row>
    <row r="429" ht="15.75" customHeight="1">
      <c r="A429" s="28"/>
      <c r="B429" s="28"/>
      <c r="C429" s="28"/>
    </row>
    <row r="430" ht="15.75" customHeight="1">
      <c r="A430" s="28"/>
      <c r="B430" s="28"/>
      <c r="C430" s="28"/>
    </row>
    <row r="431" ht="15.75" customHeight="1">
      <c r="A431" s="28"/>
      <c r="B431" s="28"/>
      <c r="C431" s="28"/>
    </row>
    <row r="432" ht="15.75" customHeight="1">
      <c r="A432" s="28"/>
      <c r="B432" s="28"/>
      <c r="C432" s="28"/>
    </row>
    <row r="433" ht="15.75" customHeight="1">
      <c r="A433" s="28"/>
      <c r="B433" s="28"/>
      <c r="C433" s="28"/>
    </row>
    <row r="434" ht="15.75" customHeight="1">
      <c r="A434" s="28"/>
      <c r="B434" s="28"/>
      <c r="C434" s="28"/>
    </row>
    <row r="435" ht="15.75" customHeight="1">
      <c r="A435" s="28"/>
      <c r="B435" s="28"/>
      <c r="C435" s="28"/>
    </row>
    <row r="436" ht="15.75" customHeight="1">
      <c r="A436" s="28"/>
      <c r="B436" s="28"/>
      <c r="C436" s="28"/>
    </row>
    <row r="437" ht="15.75" customHeight="1">
      <c r="A437" s="28"/>
      <c r="B437" s="28"/>
      <c r="C437" s="28"/>
    </row>
    <row r="438" ht="15.75" customHeight="1">
      <c r="A438" s="28"/>
      <c r="B438" s="28"/>
      <c r="C438" s="28"/>
    </row>
    <row r="439" ht="15.75" customHeight="1">
      <c r="A439" s="28"/>
      <c r="B439" s="28"/>
      <c r="C439" s="28"/>
    </row>
    <row r="440" ht="15.75" customHeight="1">
      <c r="A440" s="28"/>
      <c r="B440" s="28"/>
      <c r="C440" s="28"/>
    </row>
    <row r="441" ht="15.75" customHeight="1">
      <c r="A441" s="28"/>
      <c r="B441" s="28"/>
      <c r="C441" s="28"/>
    </row>
    <row r="442" ht="15.75" customHeight="1">
      <c r="A442" s="28"/>
      <c r="B442" s="28"/>
      <c r="C442" s="28"/>
    </row>
    <row r="443" ht="15.75" customHeight="1">
      <c r="A443" s="28"/>
      <c r="B443" s="28"/>
      <c r="C443" s="28"/>
    </row>
    <row r="444" ht="15.75" customHeight="1">
      <c r="A444" s="28"/>
      <c r="B444" s="28"/>
      <c r="C444" s="28"/>
    </row>
    <row r="445" ht="15.75" customHeight="1">
      <c r="A445" s="28"/>
      <c r="B445" s="28"/>
      <c r="C445" s="28"/>
    </row>
    <row r="446" ht="15.75" customHeight="1">
      <c r="A446" s="28"/>
      <c r="B446" s="28"/>
      <c r="C446" s="28"/>
    </row>
    <row r="447" ht="15.75" customHeight="1">
      <c r="A447" s="28"/>
      <c r="B447" s="28"/>
      <c r="C447" s="28"/>
    </row>
    <row r="448" ht="15.75" customHeight="1">
      <c r="A448" s="28"/>
      <c r="B448" s="28"/>
      <c r="C448" s="28"/>
    </row>
    <row r="449" ht="15.75" customHeight="1">
      <c r="A449" s="28"/>
      <c r="B449" s="28"/>
      <c r="C449" s="28"/>
    </row>
    <row r="450" ht="15.75" customHeight="1">
      <c r="A450" s="28"/>
      <c r="B450" s="28"/>
      <c r="C450" s="28"/>
    </row>
    <row r="451" ht="15.75" customHeight="1">
      <c r="A451" s="28"/>
      <c r="B451" s="28"/>
      <c r="C451" s="28"/>
    </row>
    <row r="452" ht="15.75" customHeight="1">
      <c r="A452" s="28"/>
      <c r="B452" s="28"/>
      <c r="C452" s="28"/>
    </row>
    <row r="453" ht="15.75" customHeight="1">
      <c r="A453" s="28"/>
      <c r="B453" s="28"/>
      <c r="C453" s="28"/>
    </row>
    <row r="454" ht="15.75" customHeight="1">
      <c r="A454" s="28"/>
      <c r="B454" s="28"/>
      <c r="C454" s="28"/>
    </row>
    <row r="455" ht="15.75" customHeight="1">
      <c r="A455" s="28"/>
      <c r="B455" s="28"/>
      <c r="C455" s="28"/>
    </row>
    <row r="456" ht="15.75" customHeight="1">
      <c r="A456" s="28"/>
      <c r="B456" s="28"/>
      <c r="C456" s="28"/>
    </row>
    <row r="457" ht="15.75" customHeight="1">
      <c r="A457" s="28"/>
      <c r="B457" s="28"/>
      <c r="C457" s="28"/>
    </row>
    <row r="458" ht="15.75" customHeight="1">
      <c r="A458" s="28"/>
      <c r="B458" s="28"/>
      <c r="C458" s="28"/>
    </row>
    <row r="459" ht="15.75" customHeight="1">
      <c r="A459" s="28"/>
      <c r="B459" s="28"/>
      <c r="C459" s="28"/>
    </row>
    <row r="460" ht="15.75" customHeight="1">
      <c r="A460" s="28"/>
      <c r="B460" s="28"/>
      <c r="C460" s="28"/>
    </row>
    <row r="461" ht="15.75" customHeight="1">
      <c r="A461" s="28"/>
      <c r="B461" s="28"/>
      <c r="C461" s="28"/>
    </row>
    <row r="462" ht="15.75" customHeight="1">
      <c r="A462" s="28"/>
      <c r="B462" s="28"/>
      <c r="C462" s="28"/>
    </row>
    <row r="463" ht="15.75" customHeight="1">
      <c r="A463" s="28"/>
      <c r="B463" s="28"/>
      <c r="C463" s="28"/>
    </row>
    <row r="464" ht="15.75" customHeight="1">
      <c r="A464" s="28"/>
      <c r="B464" s="28"/>
      <c r="C464" s="28"/>
    </row>
    <row r="465" ht="15.75" customHeight="1">
      <c r="A465" s="28"/>
      <c r="B465" s="28"/>
      <c r="C465" s="28"/>
    </row>
    <row r="466" ht="15.75" customHeight="1">
      <c r="A466" s="28"/>
      <c r="B466" s="28"/>
      <c r="C466" s="28"/>
    </row>
    <row r="467" ht="15.75" customHeight="1">
      <c r="A467" s="28"/>
      <c r="B467" s="28"/>
      <c r="C467" s="28"/>
    </row>
    <row r="468" ht="15.75" customHeight="1">
      <c r="A468" s="28"/>
      <c r="B468" s="28"/>
      <c r="C468" s="28"/>
    </row>
    <row r="469" ht="15.75" customHeight="1">
      <c r="A469" s="28"/>
      <c r="B469" s="28"/>
      <c r="C469" s="28"/>
    </row>
    <row r="470" ht="15.75" customHeight="1">
      <c r="A470" s="28"/>
      <c r="B470" s="28"/>
      <c r="C470" s="28"/>
    </row>
    <row r="471" ht="15.75" customHeight="1">
      <c r="A471" s="28"/>
      <c r="B471" s="28"/>
      <c r="C471" s="28"/>
    </row>
    <row r="472" ht="15.75" customHeight="1">
      <c r="A472" s="28"/>
      <c r="B472" s="28"/>
      <c r="C472" s="28"/>
    </row>
    <row r="473" ht="15.75" customHeight="1">
      <c r="A473" s="28"/>
      <c r="B473" s="28"/>
      <c r="C473" s="28"/>
    </row>
    <row r="474" ht="15.75" customHeight="1">
      <c r="A474" s="28"/>
      <c r="B474" s="28"/>
      <c r="C474" s="28"/>
    </row>
    <row r="475" ht="15.75" customHeight="1">
      <c r="A475" s="28"/>
      <c r="B475" s="28"/>
      <c r="C475" s="28"/>
    </row>
    <row r="476" ht="15.75" customHeight="1">
      <c r="A476" s="28"/>
      <c r="B476" s="28"/>
      <c r="C476" s="28"/>
    </row>
    <row r="477" ht="15.75" customHeight="1">
      <c r="A477" s="28"/>
      <c r="B477" s="28"/>
      <c r="C477" s="28"/>
    </row>
    <row r="478" ht="15.75" customHeight="1">
      <c r="A478" s="28"/>
      <c r="B478" s="28"/>
      <c r="C478" s="28"/>
    </row>
    <row r="479" ht="15.75" customHeight="1">
      <c r="A479" s="28"/>
      <c r="B479" s="28"/>
      <c r="C479" s="28"/>
    </row>
    <row r="480" ht="15.75" customHeight="1">
      <c r="A480" s="28"/>
      <c r="B480" s="28"/>
      <c r="C480" s="28"/>
    </row>
    <row r="481" ht="15.75" customHeight="1">
      <c r="A481" s="28"/>
      <c r="B481" s="28"/>
      <c r="C481" s="28"/>
    </row>
    <row r="482" ht="15.75" customHeight="1">
      <c r="A482" s="28"/>
      <c r="B482" s="28"/>
      <c r="C482" s="28"/>
    </row>
    <row r="483" ht="15.75" customHeight="1">
      <c r="A483" s="28"/>
      <c r="B483" s="28"/>
      <c r="C483" s="28"/>
    </row>
    <row r="484" ht="15.75" customHeight="1">
      <c r="A484" s="28"/>
      <c r="B484" s="28"/>
      <c r="C484" s="28"/>
    </row>
    <row r="485" ht="15.75" customHeight="1">
      <c r="A485" s="28"/>
      <c r="B485" s="28"/>
      <c r="C485" s="28"/>
    </row>
    <row r="486" ht="15.75" customHeight="1">
      <c r="A486" s="28"/>
      <c r="B486" s="28"/>
      <c r="C486" s="28"/>
    </row>
    <row r="487" ht="15.75" customHeight="1">
      <c r="A487" s="28"/>
      <c r="B487" s="28"/>
      <c r="C487" s="28"/>
    </row>
    <row r="488" ht="15.75" customHeight="1">
      <c r="A488" s="28"/>
      <c r="B488" s="28"/>
      <c r="C488" s="28"/>
    </row>
    <row r="489" ht="15.75" customHeight="1">
      <c r="A489" s="28"/>
      <c r="B489" s="28"/>
      <c r="C489" s="28"/>
    </row>
    <row r="490" ht="15.75" customHeight="1">
      <c r="A490" s="28"/>
      <c r="B490" s="28"/>
      <c r="C490" s="28"/>
    </row>
    <row r="491" ht="15.75" customHeight="1">
      <c r="A491" s="28"/>
      <c r="B491" s="28"/>
      <c r="C491" s="28"/>
    </row>
    <row r="492" ht="15.75" customHeight="1">
      <c r="A492" s="28"/>
      <c r="B492" s="28"/>
      <c r="C492" s="28"/>
    </row>
    <row r="493" ht="15.75" customHeight="1">
      <c r="A493" s="28"/>
      <c r="B493" s="28"/>
      <c r="C493" s="28"/>
    </row>
    <row r="494" ht="15.75" customHeight="1">
      <c r="A494" s="28"/>
      <c r="B494" s="28"/>
      <c r="C494" s="28"/>
    </row>
    <row r="495" ht="15.75" customHeight="1">
      <c r="A495" s="28"/>
      <c r="B495" s="28"/>
      <c r="C495" s="28"/>
    </row>
    <row r="496" ht="15.75" customHeight="1">
      <c r="A496" s="28"/>
      <c r="B496" s="28"/>
      <c r="C496" s="28"/>
    </row>
    <row r="497" ht="15.75" customHeight="1">
      <c r="A497" s="28"/>
      <c r="B497" s="28"/>
      <c r="C497" s="28"/>
    </row>
    <row r="498" ht="15.75" customHeight="1">
      <c r="A498" s="28"/>
      <c r="B498" s="28"/>
      <c r="C498" s="28"/>
    </row>
    <row r="499" ht="15.75" customHeight="1">
      <c r="A499" s="28"/>
      <c r="B499" s="28"/>
      <c r="C499" s="28"/>
    </row>
    <row r="500" ht="15.75" customHeight="1">
      <c r="A500" s="28"/>
      <c r="B500" s="28"/>
      <c r="C500" s="28"/>
    </row>
    <row r="501" ht="15.75" customHeight="1">
      <c r="A501" s="28"/>
      <c r="B501" s="28"/>
      <c r="C501" s="28"/>
    </row>
    <row r="502" ht="15.75" customHeight="1">
      <c r="A502" s="28"/>
      <c r="B502" s="28"/>
      <c r="C502" s="28"/>
    </row>
    <row r="503" ht="15.75" customHeight="1">
      <c r="A503" s="28"/>
      <c r="B503" s="28"/>
      <c r="C503" s="28"/>
    </row>
    <row r="504" ht="15.75" customHeight="1">
      <c r="A504" s="28"/>
      <c r="B504" s="28"/>
      <c r="C504" s="28"/>
    </row>
    <row r="505" ht="15.75" customHeight="1">
      <c r="A505" s="28"/>
      <c r="B505" s="28"/>
      <c r="C505" s="28"/>
    </row>
    <row r="506" ht="15.75" customHeight="1">
      <c r="A506" s="28"/>
      <c r="B506" s="28"/>
      <c r="C506" s="28"/>
    </row>
    <row r="507" ht="15.75" customHeight="1">
      <c r="A507" s="28"/>
      <c r="B507" s="28"/>
      <c r="C507" s="28"/>
    </row>
    <row r="508" ht="15.75" customHeight="1">
      <c r="A508" s="28"/>
      <c r="B508" s="28"/>
      <c r="C508" s="28"/>
    </row>
    <row r="509" ht="15.75" customHeight="1">
      <c r="A509" s="28"/>
      <c r="B509" s="28"/>
      <c r="C509" s="28"/>
    </row>
    <row r="510" ht="15.75" customHeight="1">
      <c r="A510" s="28"/>
      <c r="B510" s="28"/>
      <c r="C510" s="28"/>
    </row>
    <row r="511" ht="15.75" customHeight="1">
      <c r="A511" s="28"/>
      <c r="B511" s="28"/>
      <c r="C511" s="28"/>
    </row>
    <row r="512" ht="15.75" customHeight="1">
      <c r="A512" s="28"/>
      <c r="B512" s="28"/>
      <c r="C512" s="28"/>
    </row>
    <row r="513" ht="15.75" customHeight="1">
      <c r="A513" s="28"/>
      <c r="B513" s="28"/>
      <c r="C513" s="28"/>
    </row>
    <row r="514" ht="15.75" customHeight="1">
      <c r="A514" s="28"/>
      <c r="B514" s="28"/>
      <c r="C514" s="28"/>
    </row>
    <row r="515" ht="15.75" customHeight="1">
      <c r="A515" s="28"/>
      <c r="B515" s="28"/>
      <c r="C515" s="28"/>
    </row>
    <row r="516" ht="15.75" customHeight="1">
      <c r="A516" s="28"/>
      <c r="B516" s="28"/>
      <c r="C516" s="28"/>
    </row>
    <row r="517" ht="15.75" customHeight="1">
      <c r="A517" s="28"/>
      <c r="B517" s="28"/>
      <c r="C517" s="28"/>
    </row>
    <row r="518" ht="15.75" customHeight="1">
      <c r="A518" s="28"/>
      <c r="B518" s="28"/>
      <c r="C518" s="28"/>
    </row>
    <row r="519" ht="15.75" customHeight="1">
      <c r="A519" s="28"/>
      <c r="B519" s="28"/>
      <c r="C519" s="28"/>
    </row>
    <row r="520" ht="15.75" customHeight="1">
      <c r="A520" s="28"/>
      <c r="B520" s="28"/>
      <c r="C520" s="28"/>
    </row>
    <row r="521" ht="15.75" customHeight="1">
      <c r="A521" s="28"/>
      <c r="B521" s="28"/>
      <c r="C521" s="28"/>
    </row>
    <row r="522" ht="15.75" customHeight="1">
      <c r="A522" s="28"/>
      <c r="B522" s="28"/>
      <c r="C522" s="28"/>
    </row>
    <row r="523" ht="15.75" customHeight="1">
      <c r="A523" s="28"/>
      <c r="B523" s="28"/>
      <c r="C523" s="28"/>
    </row>
    <row r="524" ht="15.75" customHeight="1">
      <c r="A524" s="28"/>
      <c r="B524" s="28"/>
      <c r="C524" s="28"/>
    </row>
    <row r="525" ht="15.75" customHeight="1">
      <c r="A525" s="28"/>
      <c r="B525" s="28"/>
      <c r="C525" s="28"/>
    </row>
    <row r="526" ht="15.75" customHeight="1">
      <c r="A526" s="28"/>
      <c r="B526" s="28"/>
      <c r="C526" s="28"/>
    </row>
    <row r="527" ht="15.75" customHeight="1">
      <c r="A527" s="28"/>
      <c r="B527" s="28"/>
      <c r="C527" s="28"/>
    </row>
    <row r="528" ht="15.75" customHeight="1">
      <c r="A528" s="28"/>
      <c r="B528" s="28"/>
      <c r="C528" s="28"/>
    </row>
    <row r="529" ht="15.75" customHeight="1">
      <c r="A529" s="28"/>
      <c r="B529" s="28"/>
      <c r="C529" s="28"/>
    </row>
    <row r="530" ht="15.75" customHeight="1">
      <c r="A530" s="28"/>
      <c r="B530" s="28"/>
      <c r="C530" s="28"/>
    </row>
    <row r="531" ht="15.75" customHeight="1">
      <c r="A531" s="28"/>
      <c r="B531" s="28"/>
      <c r="C531" s="28"/>
    </row>
    <row r="532" ht="15.75" customHeight="1">
      <c r="A532" s="28"/>
      <c r="B532" s="28"/>
      <c r="C532" s="28"/>
    </row>
    <row r="533" ht="15.75" customHeight="1">
      <c r="A533" s="28"/>
      <c r="B533" s="28"/>
      <c r="C533" s="28"/>
    </row>
    <row r="534" ht="15.75" customHeight="1">
      <c r="A534" s="28"/>
      <c r="B534" s="28"/>
      <c r="C534" s="28"/>
    </row>
    <row r="535" ht="15.75" customHeight="1">
      <c r="A535" s="28"/>
      <c r="B535" s="28"/>
      <c r="C535" s="28"/>
    </row>
    <row r="536" ht="15.75" customHeight="1">
      <c r="A536" s="28"/>
      <c r="B536" s="28"/>
      <c r="C536" s="28"/>
    </row>
    <row r="537" ht="15.75" customHeight="1">
      <c r="A537" s="28"/>
      <c r="B537" s="28"/>
      <c r="C537" s="28"/>
    </row>
    <row r="538" ht="15.75" customHeight="1">
      <c r="A538" s="28"/>
      <c r="B538" s="28"/>
      <c r="C538" s="28"/>
    </row>
    <row r="539" ht="15.75" customHeight="1">
      <c r="A539" s="28"/>
      <c r="B539" s="28"/>
      <c r="C539" s="28"/>
    </row>
    <row r="540" ht="15.75" customHeight="1">
      <c r="A540" s="28"/>
      <c r="B540" s="28"/>
      <c r="C540" s="28"/>
    </row>
    <row r="541" ht="15.75" customHeight="1">
      <c r="A541" s="28"/>
      <c r="B541" s="28"/>
      <c r="C541" s="28"/>
    </row>
    <row r="542" ht="15.75" customHeight="1">
      <c r="A542" s="28"/>
      <c r="B542" s="28"/>
      <c r="C542" s="28"/>
    </row>
    <row r="543" ht="15.75" customHeight="1">
      <c r="A543" s="28"/>
      <c r="B543" s="28"/>
      <c r="C543" s="28"/>
    </row>
    <row r="544" ht="15.75" customHeight="1">
      <c r="A544" s="28"/>
      <c r="B544" s="28"/>
      <c r="C544" s="28"/>
    </row>
    <row r="545" ht="15.75" customHeight="1">
      <c r="A545" s="28"/>
      <c r="B545" s="28"/>
      <c r="C545" s="28"/>
    </row>
    <row r="546" ht="15.75" customHeight="1">
      <c r="A546" s="28"/>
      <c r="B546" s="28"/>
      <c r="C546" s="28"/>
    </row>
    <row r="547" ht="15.75" customHeight="1">
      <c r="A547" s="28"/>
      <c r="B547" s="28"/>
      <c r="C547" s="28"/>
    </row>
    <row r="548" ht="15.75" customHeight="1">
      <c r="A548" s="28"/>
      <c r="B548" s="28"/>
      <c r="C548" s="28"/>
    </row>
    <row r="549" ht="15.75" customHeight="1">
      <c r="A549" s="28"/>
      <c r="B549" s="28"/>
      <c r="C549" s="28"/>
    </row>
    <row r="550" ht="15.75" customHeight="1">
      <c r="A550" s="28"/>
      <c r="B550" s="28"/>
      <c r="C550" s="28"/>
    </row>
    <row r="551" ht="15.75" customHeight="1">
      <c r="A551" s="28"/>
      <c r="B551" s="28"/>
      <c r="C551" s="28"/>
    </row>
    <row r="552" ht="15.75" customHeight="1">
      <c r="A552" s="28"/>
      <c r="B552" s="28"/>
      <c r="C552" s="28"/>
    </row>
    <row r="553" ht="15.75" customHeight="1">
      <c r="A553" s="28"/>
      <c r="B553" s="28"/>
      <c r="C553" s="28"/>
    </row>
    <row r="554" ht="15.75" customHeight="1">
      <c r="A554" s="28"/>
      <c r="B554" s="28"/>
      <c r="C554" s="28"/>
    </row>
    <row r="555" ht="15.75" customHeight="1">
      <c r="A555" s="28"/>
      <c r="B555" s="28"/>
      <c r="C555" s="28"/>
    </row>
    <row r="556" ht="15.75" customHeight="1">
      <c r="A556" s="28"/>
      <c r="B556" s="28"/>
      <c r="C556" s="28"/>
    </row>
    <row r="557" ht="15.75" customHeight="1">
      <c r="A557" s="28"/>
      <c r="B557" s="28"/>
      <c r="C557" s="28"/>
    </row>
    <row r="558" ht="15.75" customHeight="1">
      <c r="A558" s="28"/>
      <c r="B558" s="28"/>
      <c r="C558" s="28"/>
    </row>
    <row r="559" ht="15.75" customHeight="1">
      <c r="A559" s="28"/>
      <c r="B559" s="28"/>
      <c r="C559" s="28"/>
    </row>
    <row r="560" ht="15.75" customHeight="1">
      <c r="A560" s="28"/>
      <c r="B560" s="28"/>
      <c r="C560" s="28"/>
    </row>
    <row r="561" ht="15.75" customHeight="1">
      <c r="A561" s="28"/>
      <c r="B561" s="28"/>
      <c r="C561" s="28"/>
    </row>
    <row r="562" ht="15.75" customHeight="1">
      <c r="A562" s="28"/>
      <c r="B562" s="28"/>
      <c r="C562" s="28"/>
    </row>
    <row r="563" ht="15.75" customHeight="1">
      <c r="A563" s="28"/>
      <c r="B563" s="28"/>
      <c r="C563" s="28"/>
    </row>
    <row r="564" ht="15.75" customHeight="1">
      <c r="A564" s="28"/>
      <c r="B564" s="28"/>
      <c r="C564" s="28"/>
    </row>
    <row r="565" ht="15.75" customHeight="1">
      <c r="A565" s="28"/>
      <c r="B565" s="28"/>
      <c r="C565" s="28"/>
    </row>
    <row r="566" ht="15.75" customHeight="1">
      <c r="A566" s="28"/>
      <c r="B566" s="28"/>
      <c r="C566" s="28"/>
    </row>
    <row r="567" ht="15.75" customHeight="1">
      <c r="A567" s="28"/>
      <c r="B567" s="28"/>
      <c r="C567" s="28"/>
    </row>
    <row r="568" ht="15.75" customHeight="1">
      <c r="A568" s="28"/>
      <c r="B568" s="28"/>
      <c r="C568" s="28"/>
    </row>
    <row r="569" ht="15.75" customHeight="1">
      <c r="A569" s="28"/>
      <c r="B569" s="28"/>
      <c r="C569" s="28"/>
    </row>
    <row r="570" ht="15.75" customHeight="1">
      <c r="A570" s="28"/>
      <c r="B570" s="28"/>
      <c r="C570" s="28"/>
    </row>
    <row r="571" ht="15.75" customHeight="1">
      <c r="A571" s="28"/>
      <c r="B571" s="28"/>
      <c r="C571" s="28"/>
    </row>
    <row r="572" ht="15.75" customHeight="1">
      <c r="A572" s="28"/>
      <c r="B572" s="28"/>
      <c r="C572" s="28"/>
    </row>
    <row r="573" ht="15.75" customHeight="1">
      <c r="A573" s="28"/>
      <c r="B573" s="28"/>
      <c r="C573" s="28"/>
    </row>
    <row r="574" ht="15.75" customHeight="1">
      <c r="A574" s="28"/>
      <c r="B574" s="28"/>
      <c r="C574" s="28"/>
    </row>
    <row r="575" ht="15.75" customHeight="1">
      <c r="A575" s="28"/>
      <c r="B575" s="28"/>
      <c r="C575" s="28"/>
    </row>
    <row r="576" ht="15.75" customHeight="1">
      <c r="A576" s="28"/>
      <c r="B576" s="28"/>
      <c r="C576" s="28"/>
    </row>
    <row r="577" ht="15.75" customHeight="1">
      <c r="A577" s="28"/>
      <c r="B577" s="28"/>
      <c r="C577" s="28"/>
    </row>
    <row r="578" ht="15.75" customHeight="1">
      <c r="A578" s="28"/>
      <c r="B578" s="28"/>
      <c r="C578" s="28"/>
    </row>
    <row r="579" ht="15.75" customHeight="1">
      <c r="A579" s="28"/>
      <c r="B579" s="28"/>
      <c r="C579" s="28"/>
    </row>
    <row r="580" ht="15.75" customHeight="1">
      <c r="A580" s="28"/>
      <c r="B580" s="28"/>
      <c r="C580" s="28"/>
    </row>
    <row r="581" ht="15.75" customHeight="1">
      <c r="A581" s="28"/>
      <c r="B581" s="28"/>
      <c r="C581" s="28"/>
    </row>
    <row r="582" ht="15.75" customHeight="1">
      <c r="A582" s="28"/>
      <c r="B582" s="28"/>
      <c r="C582" s="28"/>
    </row>
    <row r="583" ht="15.75" customHeight="1">
      <c r="A583" s="28"/>
      <c r="B583" s="28"/>
      <c r="C583" s="28"/>
    </row>
    <row r="584" ht="15.75" customHeight="1">
      <c r="A584" s="28"/>
      <c r="B584" s="28"/>
      <c r="C584" s="28"/>
    </row>
    <row r="585" ht="15.75" customHeight="1">
      <c r="A585" s="28"/>
      <c r="B585" s="28"/>
      <c r="C585" s="28"/>
    </row>
    <row r="586" ht="15.75" customHeight="1">
      <c r="A586" s="28"/>
      <c r="B586" s="28"/>
      <c r="C586" s="28"/>
    </row>
    <row r="587" ht="15.75" customHeight="1">
      <c r="A587" s="28"/>
      <c r="B587" s="28"/>
      <c r="C587" s="28"/>
    </row>
    <row r="588" ht="15.75" customHeight="1">
      <c r="A588" s="28"/>
      <c r="B588" s="28"/>
      <c r="C588" s="28"/>
    </row>
    <row r="589" ht="15.75" customHeight="1">
      <c r="A589" s="28"/>
      <c r="B589" s="28"/>
      <c r="C589" s="28"/>
    </row>
    <row r="590" ht="15.75" customHeight="1">
      <c r="A590" s="28"/>
      <c r="B590" s="28"/>
      <c r="C590" s="28"/>
    </row>
    <row r="591" ht="15.75" customHeight="1">
      <c r="A591" s="28"/>
      <c r="B591" s="28"/>
      <c r="C591" s="28"/>
    </row>
    <row r="592" ht="15.75" customHeight="1">
      <c r="A592" s="28"/>
      <c r="B592" s="28"/>
      <c r="C592" s="28"/>
    </row>
    <row r="593" ht="15.75" customHeight="1">
      <c r="A593" s="28"/>
      <c r="B593" s="28"/>
      <c r="C593" s="28"/>
    </row>
    <row r="594" ht="15.75" customHeight="1">
      <c r="A594" s="28"/>
      <c r="B594" s="28"/>
      <c r="C594" s="28"/>
    </row>
    <row r="595" ht="15.75" customHeight="1">
      <c r="A595" s="28"/>
      <c r="B595" s="28"/>
      <c r="C595" s="28"/>
    </row>
    <row r="596" ht="15.75" customHeight="1">
      <c r="A596" s="28"/>
      <c r="B596" s="28"/>
      <c r="C596" s="28"/>
    </row>
    <row r="597" ht="15.75" customHeight="1">
      <c r="A597" s="28"/>
      <c r="B597" s="28"/>
      <c r="C597" s="28"/>
    </row>
    <row r="598" ht="15.75" customHeight="1">
      <c r="A598" s="28"/>
      <c r="B598" s="28"/>
      <c r="C598" s="28"/>
    </row>
    <row r="599" ht="15.75" customHeight="1">
      <c r="A599" s="28"/>
      <c r="B599" s="28"/>
      <c r="C599" s="28"/>
    </row>
    <row r="600" ht="15.75" customHeight="1">
      <c r="A600" s="28"/>
      <c r="B600" s="28"/>
      <c r="C600" s="28"/>
    </row>
    <row r="601" ht="15.75" customHeight="1">
      <c r="A601" s="28"/>
      <c r="B601" s="28"/>
      <c r="C601" s="28"/>
    </row>
    <row r="602" ht="15.75" customHeight="1">
      <c r="A602" s="28"/>
      <c r="B602" s="28"/>
      <c r="C602" s="28"/>
    </row>
    <row r="603" ht="15.75" customHeight="1">
      <c r="A603" s="28"/>
      <c r="B603" s="28"/>
      <c r="C603" s="28"/>
    </row>
    <row r="604" ht="15.75" customHeight="1">
      <c r="A604" s="28"/>
      <c r="B604" s="28"/>
      <c r="C604" s="28"/>
    </row>
    <row r="605" ht="15.75" customHeight="1">
      <c r="A605" s="28"/>
      <c r="B605" s="28"/>
      <c r="C605" s="28"/>
    </row>
    <row r="606" ht="15.75" customHeight="1">
      <c r="A606" s="28"/>
      <c r="B606" s="28"/>
      <c r="C606" s="28"/>
    </row>
    <row r="607" ht="15.75" customHeight="1">
      <c r="A607" s="28"/>
      <c r="B607" s="28"/>
      <c r="C607" s="28"/>
    </row>
    <row r="608" ht="15.75" customHeight="1">
      <c r="A608" s="28"/>
      <c r="B608" s="28"/>
      <c r="C608" s="28"/>
    </row>
    <row r="609" ht="15.75" customHeight="1">
      <c r="A609" s="28"/>
      <c r="B609" s="28"/>
      <c r="C609" s="28"/>
    </row>
    <row r="610" ht="15.75" customHeight="1">
      <c r="A610" s="28"/>
      <c r="B610" s="28"/>
      <c r="C610" s="28"/>
    </row>
    <row r="611" ht="15.75" customHeight="1">
      <c r="A611" s="28"/>
      <c r="B611" s="28"/>
      <c r="C611" s="28"/>
    </row>
    <row r="612" ht="15.75" customHeight="1">
      <c r="A612" s="28"/>
      <c r="B612" s="28"/>
      <c r="C612" s="28"/>
    </row>
    <row r="613" ht="15.75" customHeight="1">
      <c r="A613" s="28"/>
      <c r="B613" s="28"/>
      <c r="C613" s="28"/>
    </row>
    <row r="614" ht="15.75" customHeight="1">
      <c r="A614" s="28"/>
      <c r="B614" s="28"/>
      <c r="C614" s="28"/>
    </row>
    <row r="615" ht="15.75" customHeight="1">
      <c r="A615" s="28"/>
      <c r="B615" s="28"/>
      <c r="C615" s="28"/>
    </row>
    <row r="616" ht="15.75" customHeight="1">
      <c r="A616" s="28"/>
      <c r="B616" s="28"/>
      <c r="C616" s="28"/>
    </row>
    <row r="617" ht="15.75" customHeight="1">
      <c r="A617" s="28"/>
      <c r="B617" s="28"/>
      <c r="C617" s="28"/>
    </row>
    <row r="618" ht="15.75" customHeight="1">
      <c r="A618" s="28"/>
      <c r="B618" s="28"/>
      <c r="C618" s="28"/>
    </row>
    <row r="619" ht="15.75" customHeight="1">
      <c r="A619" s="28"/>
      <c r="B619" s="28"/>
      <c r="C619" s="28"/>
    </row>
    <row r="620" ht="15.75" customHeight="1">
      <c r="A620" s="28"/>
      <c r="B620" s="28"/>
      <c r="C620" s="28"/>
    </row>
    <row r="621" ht="15.75" customHeight="1">
      <c r="A621" s="28"/>
      <c r="B621" s="28"/>
      <c r="C621" s="28"/>
    </row>
    <row r="622" ht="15.75" customHeight="1">
      <c r="A622" s="28"/>
      <c r="B622" s="28"/>
      <c r="C622" s="28"/>
    </row>
    <row r="623" ht="15.75" customHeight="1">
      <c r="A623" s="28"/>
      <c r="B623" s="28"/>
      <c r="C623" s="28"/>
    </row>
    <row r="624" ht="15.75" customHeight="1">
      <c r="A624" s="28"/>
      <c r="B624" s="28"/>
      <c r="C624" s="28"/>
    </row>
    <row r="625" ht="15.75" customHeight="1">
      <c r="A625" s="28"/>
      <c r="B625" s="28"/>
      <c r="C625" s="28"/>
    </row>
    <row r="626" ht="15.75" customHeight="1">
      <c r="A626" s="28"/>
      <c r="B626" s="28"/>
      <c r="C626" s="28"/>
    </row>
    <row r="627" ht="15.75" customHeight="1">
      <c r="A627" s="28"/>
      <c r="B627" s="28"/>
      <c r="C627" s="28"/>
    </row>
    <row r="628" ht="15.75" customHeight="1">
      <c r="A628" s="28"/>
      <c r="B628" s="28"/>
      <c r="C628" s="28"/>
    </row>
    <row r="629" ht="15.75" customHeight="1">
      <c r="A629" s="28"/>
      <c r="B629" s="28"/>
      <c r="C629" s="28"/>
    </row>
    <row r="630" ht="15.75" customHeight="1">
      <c r="A630" s="28"/>
      <c r="B630" s="28"/>
      <c r="C630" s="28"/>
    </row>
    <row r="631" ht="15.75" customHeight="1">
      <c r="A631" s="28"/>
      <c r="B631" s="28"/>
      <c r="C631" s="28"/>
    </row>
    <row r="632" ht="15.75" customHeight="1">
      <c r="A632" s="28"/>
      <c r="B632" s="28"/>
      <c r="C632" s="28"/>
    </row>
    <row r="633" ht="15.75" customHeight="1">
      <c r="A633" s="28"/>
      <c r="B633" s="28"/>
      <c r="C633" s="28"/>
    </row>
    <row r="634" ht="15.75" customHeight="1">
      <c r="A634" s="28"/>
      <c r="B634" s="28"/>
      <c r="C634" s="28"/>
    </row>
    <row r="635" ht="15.75" customHeight="1">
      <c r="A635" s="28"/>
      <c r="B635" s="28"/>
      <c r="C635" s="28"/>
    </row>
    <row r="636" ht="15.75" customHeight="1">
      <c r="A636" s="28"/>
      <c r="B636" s="28"/>
      <c r="C636" s="28"/>
    </row>
    <row r="637" ht="15.75" customHeight="1">
      <c r="A637" s="28"/>
      <c r="B637" s="28"/>
      <c r="C637" s="28"/>
    </row>
    <row r="638" ht="15.75" customHeight="1">
      <c r="A638" s="28"/>
      <c r="B638" s="28"/>
      <c r="C638" s="28"/>
    </row>
    <row r="639" ht="15.75" customHeight="1">
      <c r="A639" s="28"/>
      <c r="B639" s="28"/>
      <c r="C639" s="28"/>
    </row>
    <row r="640" ht="15.75" customHeight="1">
      <c r="A640" s="28"/>
      <c r="B640" s="28"/>
      <c r="C640" s="28"/>
    </row>
    <row r="641" ht="15.75" customHeight="1">
      <c r="A641" s="28"/>
      <c r="B641" s="28"/>
      <c r="C641" s="28"/>
    </row>
    <row r="642" ht="15.75" customHeight="1">
      <c r="A642" s="28"/>
      <c r="B642" s="28"/>
      <c r="C642" s="28"/>
    </row>
    <row r="643" ht="15.75" customHeight="1">
      <c r="A643" s="28"/>
      <c r="B643" s="28"/>
      <c r="C643" s="28"/>
    </row>
    <row r="644" ht="15.75" customHeight="1">
      <c r="A644" s="28"/>
      <c r="B644" s="28"/>
      <c r="C644" s="28"/>
    </row>
    <row r="645" ht="15.75" customHeight="1">
      <c r="A645" s="28"/>
      <c r="B645" s="28"/>
      <c r="C645" s="28"/>
    </row>
    <row r="646" ht="15.75" customHeight="1">
      <c r="A646" s="28"/>
      <c r="B646" s="28"/>
      <c r="C646" s="28"/>
    </row>
    <row r="647" ht="15.75" customHeight="1">
      <c r="A647" s="28"/>
      <c r="B647" s="28"/>
      <c r="C647" s="28"/>
    </row>
    <row r="648" ht="15.75" customHeight="1">
      <c r="A648" s="28"/>
      <c r="B648" s="28"/>
      <c r="C648" s="28"/>
    </row>
    <row r="649" ht="15.75" customHeight="1">
      <c r="A649" s="28"/>
      <c r="B649" s="28"/>
      <c r="C649" s="28"/>
    </row>
    <row r="650" ht="15.75" customHeight="1">
      <c r="A650" s="28"/>
      <c r="B650" s="28"/>
      <c r="C650" s="28"/>
    </row>
    <row r="651" ht="15.75" customHeight="1">
      <c r="A651" s="28"/>
      <c r="B651" s="28"/>
      <c r="C651" s="28"/>
    </row>
    <row r="652" ht="15.75" customHeight="1">
      <c r="A652" s="28"/>
      <c r="B652" s="28"/>
      <c r="C652" s="28"/>
    </row>
    <row r="653" ht="15.75" customHeight="1">
      <c r="A653" s="28"/>
      <c r="B653" s="28"/>
      <c r="C653" s="28"/>
    </row>
    <row r="654" ht="15.75" customHeight="1">
      <c r="A654" s="28"/>
      <c r="B654" s="28"/>
      <c r="C654" s="28"/>
    </row>
    <row r="655" ht="15.75" customHeight="1">
      <c r="A655" s="28"/>
      <c r="B655" s="28"/>
      <c r="C655" s="28"/>
    </row>
    <row r="656" ht="15.75" customHeight="1">
      <c r="A656" s="28"/>
      <c r="B656" s="28"/>
      <c r="C656" s="28"/>
    </row>
    <row r="657" ht="15.75" customHeight="1">
      <c r="A657" s="28"/>
      <c r="B657" s="28"/>
      <c r="C657" s="28"/>
    </row>
    <row r="658" ht="15.75" customHeight="1">
      <c r="A658" s="28"/>
      <c r="B658" s="28"/>
      <c r="C658" s="28"/>
    </row>
    <row r="659" ht="15.75" customHeight="1">
      <c r="A659" s="28"/>
      <c r="B659" s="28"/>
      <c r="C659" s="28"/>
    </row>
    <row r="660" ht="15.75" customHeight="1">
      <c r="A660" s="28"/>
      <c r="B660" s="28"/>
      <c r="C660" s="28"/>
    </row>
    <row r="661" ht="15.75" customHeight="1">
      <c r="A661" s="28"/>
      <c r="B661" s="28"/>
      <c r="C661" s="28"/>
    </row>
    <row r="662" ht="15.75" customHeight="1">
      <c r="A662" s="28"/>
      <c r="B662" s="28"/>
      <c r="C662" s="28"/>
    </row>
    <row r="663" ht="15.75" customHeight="1">
      <c r="A663" s="28"/>
      <c r="B663" s="28"/>
      <c r="C663" s="28"/>
    </row>
    <row r="664" ht="15.75" customHeight="1">
      <c r="A664" s="28"/>
      <c r="B664" s="28"/>
      <c r="C664" s="28"/>
    </row>
    <row r="665" ht="15.75" customHeight="1">
      <c r="A665" s="28"/>
      <c r="B665" s="28"/>
      <c r="C665" s="28"/>
    </row>
    <row r="666" ht="15.75" customHeight="1">
      <c r="A666" s="28"/>
      <c r="B666" s="28"/>
      <c r="C666" s="28"/>
    </row>
    <row r="667" ht="15.75" customHeight="1">
      <c r="A667" s="28"/>
      <c r="B667" s="28"/>
      <c r="C667" s="28"/>
    </row>
    <row r="668" ht="15.75" customHeight="1">
      <c r="A668" s="28"/>
      <c r="B668" s="28"/>
      <c r="C668" s="28"/>
    </row>
    <row r="669" ht="15.75" customHeight="1">
      <c r="A669" s="28"/>
      <c r="B669" s="28"/>
      <c r="C669" s="28"/>
    </row>
    <row r="670" ht="15.75" customHeight="1">
      <c r="A670" s="28"/>
      <c r="B670" s="28"/>
      <c r="C670" s="28"/>
    </row>
    <row r="671" ht="15.75" customHeight="1">
      <c r="A671" s="28"/>
      <c r="B671" s="28"/>
      <c r="C671" s="28"/>
    </row>
    <row r="672" ht="15.75" customHeight="1">
      <c r="A672" s="28"/>
      <c r="B672" s="28"/>
      <c r="C672" s="28"/>
    </row>
    <row r="673" ht="15.75" customHeight="1">
      <c r="A673" s="28"/>
      <c r="B673" s="28"/>
      <c r="C673" s="28"/>
    </row>
    <row r="674" ht="15.75" customHeight="1">
      <c r="A674" s="28"/>
      <c r="B674" s="28"/>
      <c r="C674" s="28"/>
    </row>
    <row r="675" ht="15.75" customHeight="1">
      <c r="A675" s="28"/>
      <c r="B675" s="28"/>
      <c r="C675" s="28"/>
    </row>
    <row r="676" ht="15.75" customHeight="1">
      <c r="A676" s="28"/>
      <c r="B676" s="28"/>
      <c r="C676" s="28"/>
    </row>
    <row r="677" ht="15.75" customHeight="1">
      <c r="A677" s="28"/>
      <c r="B677" s="28"/>
      <c r="C677" s="28"/>
    </row>
    <row r="678" ht="15.75" customHeight="1">
      <c r="A678" s="28"/>
      <c r="B678" s="28"/>
      <c r="C678" s="28"/>
    </row>
    <row r="679" ht="15.75" customHeight="1">
      <c r="A679" s="28"/>
      <c r="B679" s="28"/>
      <c r="C679" s="28"/>
    </row>
    <row r="680" ht="15.75" customHeight="1">
      <c r="A680" s="28"/>
      <c r="B680" s="28"/>
      <c r="C680" s="28"/>
    </row>
    <row r="681" ht="15.75" customHeight="1">
      <c r="A681" s="28"/>
      <c r="B681" s="28"/>
      <c r="C681" s="28"/>
    </row>
    <row r="682" ht="15.75" customHeight="1">
      <c r="A682" s="28"/>
      <c r="B682" s="28"/>
      <c r="C682" s="28"/>
    </row>
    <row r="683" ht="15.75" customHeight="1">
      <c r="A683" s="28"/>
      <c r="B683" s="28"/>
      <c r="C683" s="28"/>
    </row>
    <row r="684" ht="15.75" customHeight="1">
      <c r="A684" s="28"/>
      <c r="B684" s="28"/>
      <c r="C684" s="28"/>
    </row>
    <row r="685" ht="15.75" customHeight="1">
      <c r="A685" s="28"/>
      <c r="B685" s="28"/>
      <c r="C685" s="28"/>
    </row>
    <row r="686" ht="15.75" customHeight="1">
      <c r="A686" s="28"/>
      <c r="B686" s="28"/>
      <c r="C686" s="28"/>
    </row>
    <row r="687" ht="15.75" customHeight="1">
      <c r="A687" s="28"/>
      <c r="B687" s="28"/>
      <c r="C687" s="28"/>
    </row>
    <row r="688" ht="15.75" customHeight="1">
      <c r="A688" s="28"/>
      <c r="B688" s="28"/>
      <c r="C688" s="28"/>
    </row>
    <row r="689" ht="15.75" customHeight="1">
      <c r="A689" s="28"/>
      <c r="B689" s="28"/>
      <c r="C689" s="28"/>
    </row>
    <row r="690" ht="15.75" customHeight="1">
      <c r="A690" s="28"/>
      <c r="B690" s="28"/>
      <c r="C690" s="28"/>
    </row>
    <row r="691" ht="15.75" customHeight="1">
      <c r="A691" s="28"/>
      <c r="B691" s="28"/>
      <c r="C691" s="28"/>
    </row>
    <row r="692" ht="15.75" customHeight="1">
      <c r="A692" s="28"/>
      <c r="B692" s="28"/>
      <c r="C692" s="28"/>
    </row>
    <row r="693" ht="15.75" customHeight="1">
      <c r="A693" s="28"/>
      <c r="B693" s="28"/>
      <c r="C693" s="28"/>
    </row>
    <row r="694" ht="15.75" customHeight="1">
      <c r="A694" s="28"/>
      <c r="B694" s="28"/>
      <c r="C694" s="28"/>
    </row>
    <row r="695" ht="15.75" customHeight="1">
      <c r="A695" s="28"/>
      <c r="B695" s="28"/>
      <c r="C695" s="28"/>
    </row>
    <row r="696" ht="15.75" customHeight="1">
      <c r="A696" s="28"/>
      <c r="B696" s="28"/>
      <c r="C696" s="28"/>
    </row>
    <row r="697" ht="15.75" customHeight="1">
      <c r="A697" s="28"/>
      <c r="B697" s="28"/>
      <c r="C697" s="28"/>
    </row>
    <row r="698" ht="15.75" customHeight="1">
      <c r="A698" s="28"/>
      <c r="B698" s="28"/>
      <c r="C698" s="28"/>
    </row>
    <row r="699" ht="15.75" customHeight="1">
      <c r="A699" s="28"/>
      <c r="B699" s="28"/>
      <c r="C699" s="28"/>
    </row>
    <row r="700" ht="15.75" customHeight="1">
      <c r="A700" s="28"/>
      <c r="B700" s="28"/>
      <c r="C700" s="28"/>
    </row>
    <row r="701" ht="15.75" customHeight="1">
      <c r="A701" s="28"/>
      <c r="B701" s="28"/>
      <c r="C701" s="28"/>
    </row>
    <row r="702" ht="15.75" customHeight="1">
      <c r="A702" s="28"/>
      <c r="B702" s="28"/>
      <c r="C702" s="28"/>
    </row>
    <row r="703" ht="15.75" customHeight="1">
      <c r="A703" s="28"/>
      <c r="B703" s="28"/>
      <c r="C703" s="28"/>
    </row>
    <row r="704" ht="15.75" customHeight="1">
      <c r="A704" s="28"/>
      <c r="B704" s="28"/>
      <c r="C704" s="28"/>
    </row>
    <row r="705" ht="15.75" customHeight="1">
      <c r="A705" s="28"/>
      <c r="B705" s="28"/>
      <c r="C705" s="28"/>
    </row>
    <row r="706" ht="15.75" customHeight="1">
      <c r="A706" s="28"/>
      <c r="B706" s="28"/>
      <c r="C706" s="28"/>
    </row>
    <row r="707" ht="15.75" customHeight="1">
      <c r="A707" s="28"/>
      <c r="B707" s="28"/>
      <c r="C707" s="28"/>
    </row>
    <row r="708" ht="15.75" customHeight="1">
      <c r="A708" s="28"/>
      <c r="B708" s="28"/>
      <c r="C708" s="28"/>
    </row>
    <row r="709" ht="15.75" customHeight="1">
      <c r="A709" s="28"/>
      <c r="B709" s="28"/>
      <c r="C709" s="28"/>
    </row>
    <row r="710" ht="15.75" customHeight="1">
      <c r="A710" s="28"/>
      <c r="B710" s="28"/>
      <c r="C710" s="28"/>
    </row>
    <row r="711" ht="15.75" customHeight="1">
      <c r="A711" s="28"/>
      <c r="B711" s="28"/>
      <c r="C711" s="28"/>
    </row>
    <row r="712" ht="15.75" customHeight="1">
      <c r="A712" s="28"/>
      <c r="B712" s="28"/>
      <c r="C712" s="28"/>
    </row>
    <row r="713" ht="15.75" customHeight="1">
      <c r="A713" s="28"/>
      <c r="B713" s="28"/>
      <c r="C713" s="28"/>
    </row>
    <row r="714" ht="15.75" customHeight="1">
      <c r="A714" s="28"/>
      <c r="B714" s="28"/>
      <c r="C714" s="28"/>
    </row>
    <row r="715" ht="15.75" customHeight="1">
      <c r="A715" s="28"/>
      <c r="B715" s="28"/>
      <c r="C715" s="28"/>
    </row>
    <row r="716" ht="15.75" customHeight="1">
      <c r="A716" s="28"/>
      <c r="B716" s="28"/>
      <c r="C716" s="28"/>
    </row>
    <row r="717" ht="15.75" customHeight="1">
      <c r="A717" s="28"/>
      <c r="B717" s="28"/>
      <c r="C717" s="28"/>
    </row>
    <row r="718" ht="15.75" customHeight="1">
      <c r="A718" s="28"/>
      <c r="B718" s="28"/>
      <c r="C718" s="28"/>
    </row>
    <row r="719" ht="15.75" customHeight="1">
      <c r="A719" s="28"/>
      <c r="B719" s="28"/>
      <c r="C719" s="28"/>
    </row>
    <row r="720" ht="15.75" customHeight="1">
      <c r="A720" s="28"/>
      <c r="B720" s="28"/>
      <c r="C720" s="28"/>
    </row>
    <row r="721" ht="15.75" customHeight="1">
      <c r="A721" s="28"/>
      <c r="B721" s="28"/>
      <c r="C721" s="28"/>
    </row>
    <row r="722" ht="15.75" customHeight="1">
      <c r="A722" s="28"/>
      <c r="B722" s="28"/>
      <c r="C722" s="28"/>
    </row>
    <row r="723" ht="15.75" customHeight="1">
      <c r="A723" s="28"/>
      <c r="B723" s="28"/>
      <c r="C723" s="28"/>
    </row>
    <row r="724" ht="15.75" customHeight="1">
      <c r="A724" s="28"/>
      <c r="B724" s="28"/>
      <c r="C724" s="28"/>
    </row>
    <row r="725" ht="15.75" customHeight="1">
      <c r="A725" s="28"/>
      <c r="B725" s="28"/>
      <c r="C725" s="28"/>
    </row>
    <row r="726" ht="15.75" customHeight="1">
      <c r="A726" s="28"/>
      <c r="B726" s="28"/>
      <c r="C726" s="28"/>
    </row>
    <row r="727" ht="15.75" customHeight="1">
      <c r="A727" s="28"/>
      <c r="B727" s="28"/>
      <c r="C727" s="28"/>
    </row>
    <row r="728" ht="15.75" customHeight="1">
      <c r="A728" s="28"/>
      <c r="B728" s="28"/>
      <c r="C728" s="28"/>
    </row>
    <row r="729" ht="15.75" customHeight="1">
      <c r="A729" s="28"/>
      <c r="B729" s="28"/>
      <c r="C729" s="28"/>
    </row>
    <row r="730" ht="15.75" customHeight="1">
      <c r="A730" s="28"/>
      <c r="B730" s="28"/>
      <c r="C730" s="28"/>
    </row>
    <row r="731" ht="15.75" customHeight="1">
      <c r="A731" s="28"/>
      <c r="B731" s="28"/>
      <c r="C731" s="28"/>
    </row>
    <row r="732" ht="15.75" customHeight="1">
      <c r="A732" s="28"/>
      <c r="B732" s="28"/>
      <c r="C732" s="28"/>
    </row>
    <row r="733" ht="15.75" customHeight="1">
      <c r="A733" s="28"/>
      <c r="B733" s="28"/>
      <c r="C733" s="28"/>
    </row>
    <row r="734" ht="15.75" customHeight="1">
      <c r="A734" s="28"/>
      <c r="B734" s="28"/>
      <c r="C734" s="28"/>
    </row>
    <row r="735" ht="15.75" customHeight="1">
      <c r="A735" s="28"/>
      <c r="B735" s="28"/>
      <c r="C735" s="28"/>
    </row>
    <row r="736" ht="15.75" customHeight="1">
      <c r="A736" s="28"/>
      <c r="B736" s="28"/>
      <c r="C736" s="28"/>
    </row>
    <row r="737" ht="15.75" customHeight="1">
      <c r="A737" s="28"/>
      <c r="B737" s="28"/>
      <c r="C737" s="28"/>
    </row>
    <row r="738" ht="15.75" customHeight="1">
      <c r="A738" s="28"/>
      <c r="B738" s="28"/>
      <c r="C738" s="28"/>
    </row>
    <row r="739" ht="15.75" customHeight="1">
      <c r="A739" s="28"/>
      <c r="B739" s="28"/>
      <c r="C739" s="28"/>
    </row>
    <row r="740" ht="15.75" customHeight="1">
      <c r="A740" s="28"/>
      <c r="B740" s="28"/>
      <c r="C740" s="28"/>
    </row>
    <row r="741" ht="15.75" customHeight="1">
      <c r="A741" s="28"/>
      <c r="B741" s="28"/>
      <c r="C741" s="28"/>
    </row>
    <row r="742" ht="15.75" customHeight="1">
      <c r="A742" s="28"/>
      <c r="B742" s="28"/>
      <c r="C742" s="28"/>
    </row>
    <row r="743" ht="15.75" customHeight="1">
      <c r="A743" s="28"/>
      <c r="B743" s="28"/>
      <c r="C743" s="28"/>
    </row>
    <row r="744" ht="15.75" customHeight="1">
      <c r="A744" s="28"/>
      <c r="B744" s="28"/>
      <c r="C744" s="28"/>
    </row>
    <row r="745" ht="15.75" customHeight="1">
      <c r="A745" s="28"/>
      <c r="B745" s="28"/>
      <c r="C745" s="28"/>
    </row>
    <row r="746" ht="15.75" customHeight="1">
      <c r="A746" s="28"/>
      <c r="B746" s="28"/>
      <c r="C746" s="28"/>
    </row>
    <row r="747" ht="15.75" customHeight="1">
      <c r="A747" s="28"/>
      <c r="B747" s="28"/>
      <c r="C747" s="28"/>
    </row>
    <row r="748" ht="15.75" customHeight="1">
      <c r="A748" s="28"/>
      <c r="B748" s="28"/>
      <c r="C748" s="28"/>
    </row>
    <row r="749" ht="15.75" customHeight="1">
      <c r="A749" s="28"/>
      <c r="B749" s="28"/>
      <c r="C749" s="28"/>
    </row>
    <row r="750" ht="15.75" customHeight="1">
      <c r="A750" s="28"/>
      <c r="B750" s="28"/>
      <c r="C750" s="28"/>
    </row>
    <row r="751" ht="15.75" customHeight="1">
      <c r="A751" s="28"/>
      <c r="B751" s="28"/>
      <c r="C751" s="28"/>
    </row>
    <row r="752" ht="15.75" customHeight="1">
      <c r="A752" s="28"/>
      <c r="B752" s="28"/>
      <c r="C752" s="28"/>
    </row>
    <row r="753" ht="15.75" customHeight="1">
      <c r="A753" s="28"/>
      <c r="B753" s="28"/>
      <c r="C753" s="28"/>
    </row>
    <row r="754" ht="15.75" customHeight="1">
      <c r="A754" s="28"/>
      <c r="B754" s="28"/>
      <c r="C754" s="28"/>
    </row>
    <row r="755" ht="15.75" customHeight="1">
      <c r="A755" s="28"/>
      <c r="B755" s="28"/>
      <c r="C755" s="28"/>
    </row>
    <row r="756" ht="15.75" customHeight="1">
      <c r="A756" s="28"/>
      <c r="B756" s="28"/>
      <c r="C756" s="28"/>
    </row>
    <row r="757" ht="15.75" customHeight="1">
      <c r="A757" s="28"/>
      <c r="B757" s="28"/>
      <c r="C757" s="28"/>
    </row>
    <row r="758" ht="15.75" customHeight="1">
      <c r="A758" s="28"/>
      <c r="B758" s="28"/>
      <c r="C758" s="28"/>
    </row>
    <row r="759" ht="15.75" customHeight="1">
      <c r="A759" s="28"/>
      <c r="B759" s="28"/>
      <c r="C759" s="28"/>
    </row>
    <row r="760" ht="15.75" customHeight="1">
      <c r="A760" s="28"/>
      <c r="B760" s="28"/>
      <c r="C760" s="28"/>
    </row>
    <row r="761" ht="15.75" customHeight="1">
      <c r="A761" s="28"/>
      <c r="B761" s="28"/>
      <c r="C761" s="28"/>
    </row>
    <row r="762" ht="15.75" customHeight="1">
      <c r="A762" s="28"/>
      <c r="B762" s="28"/>
      <c r="C762" s="28"/>
    </row>
    <row r="763" ht="15.75" customHeight="1">
      <c r="A763" s="28"/>
      <c r="B763" s="28"/>
      <c r="C763" s="28"/>
    </row>
    <row r="764" ht="15.75" customHeight="1">
      <c r="A764" s="28"/>
      <c r="B764" s="28"/>
      <c r="C764" s="28"/>
    </row>
    <row r="765" ht="15.75" customHeight="1">
      <c r="A765" s="28"/>
      <c r="B765" s="28"/>
      <c r="C765" s="28"/>
    </row>
    <row r="766" ht="15.75" customHeight="1">
      <c r="A766" s="28"/>
      <c r="B766" s="28"/>
      <c r="C766" s="28"/>
    </row>
    <row r="767" ht="15.75" customHeight="1">
      <c r="A767" s="28"/>
      <c r="B767" s="28"/>
      <c r="C767" s="28"/>
    </row>
    <row r="768" ht="15.75" customHeight="1">
      <c r="A768" s="28"/>
      <c r="B768" s="28"/>
      <c r="C768" s="28"/>
    </row>
    <row r="769" ht="15.75" customHeight="1">
      <c r="A769" s="28"/>
      <c r="B769" s="28"/>
      <c r="C769" s="28"/>
    </row>
    <row r="770" ht="15.75" customHeight="1">
      <c r="A770" s="28"/>
      <c r="B770" s="28"/>
      <c r="C770" s="28"/>
    </row>
    <row r="771" ht="15.75" customHeight="1">
      <c r="A771" s="28"/>
      <c r="B771" s="28"/>
      <c r="C771" s="28"/>
    </row>
    <row r="772" ht="15.75" customHeight="1">
      <c r="A772" s="28"/>
      <c r="B772" s="28"/>
      <c r="C772" s="28"/>
    </row>
    <row r="773" ht="15.75" customHeight="1">
      <c r="A773" s="28"/>
      <c r="B773" s="28"/>
      <c r="C773" s="28"/>
    </row>
    <row r="774" ht="15.75" customHeight="1">
      <c r="A774" s="28"/>
      <c r="B774" s="28"/>
      <c r="C774" s="28"/>
    </row>
    <row r="775" ht="15.75" customHeight="1">
      <c r="A775" s="28"/>
      <c r="B775" s="28"/>
      <c r="C775" s="28"/>
    </row>
    <row r="776" ht="15.75" customHeight="1">
      <c r="A776" s="28"/>
      <c r="B776" s="28"/>
      <c r="C776" s="28"/>
    </row>
    <row r="777" ht="15.75" customHeight="1">
      <c r="A777" s="28"/>
      <c r="B777" s="28"/>
      <c r="C777" s="28"/>
    </row>
    <row r="778" ht="15.75" customHeight="1">
      <c r="A778" s="28"/>
      <c r="B778" s="28"/>
      <c r="C778" s="28"/>
    </row>
    <row r="779" ht="15.75" customHeight="1">
      <c r="A779" s="28"/>
      <c r="B779" s="28"/>
      <c r="C779" s="28"/>
    </row>
    <row r="780" ht="15.75" customHeight="1">
      <c r="A780" s="28"/>
      <c r="B780" s="28"/>
      <c r="C780" s="28"/>
    </row>
    <row r="781" ht="15.75" customHeight="1">
      <c r="A781" s="28"/>
      <c r="B781" s="28"/>
      <c r="C781" s="28"/>
    </row>
    <row r="782" ht="15.75" customHeight="1">
      <c r="A782" s="28"/>
      <c r="B782" s="28"/>
      <c r="C782" s="28"/>
    </row>
    <row r="783" ht="15.75" customHeight="1">
      <c r="A783" s="28"/>
      <c r="B783" s="28"/>
      <c r="C783" s="28"/>
    </row>
    <row r="784" ht="15.75" customHeight="1">
      <c r="A784" s="28"/>
      <c r="B784" s="28"/>
      <c r="C784" s="28"/>
    </row>
    <row r="785" ht="15.75" customHeight="1">
      <c r="A785" s="28"/>
      <c r="B785" s="28"/>
      <c r="C785" s="28"/>
    </row>
    <row r="786" ht="15.75" customHeight="1">
      <c r="A786" s="28"/>
      <c r="B786" s="28"/>
      <c r="C786" s="28"/>
    </row>
    <row r="787" ht="15.75" customHeight="1">
      <c r="A787" s="28"/>
      <c r="B787" s="28"/>
      <c r="C787" s="28"/>
    </row>
    <row r="788" ht="15.75" customHeight="1">
      <c r="A788" s="28"/>
      <c r="B788" s="28"/>
      <c r="C788" s="28"/>
    </row>
    <row r="789" ht="15.75" customHeight="1">
      <c r="A789" s="28"/>
      <c r="B789" s="28"/>
      <c r="C789" s="28"/>
    </row>
    <row r="790" ht="15.75" customHeight="1">
      <c r="A790" s="28"/>
      <c r="B790" s="28"/>
      <c r="C790" s="28"/>
    </row>
    <row r="791" ht="15.75" customHeight="1">
      <c r="A791" s="28"/>
      <c r="B791" s="28"/>
      <c r="C791" s="28"/>
    </row>
    <row r="792" ht="15.75" customHeight="1">
      <c r="A792" s="28"/>
      <c r="B792" s="28"/>
      <c r="C792" s="28"/>
    </row>
    <row r="793" ht="15.75" customHeight="1">
      <c r="A793" s="28"/>
      <c r="B793" s="28"/>
      <c r="C793" s="28"/>
    </row>
    <row r="794" ht="15.75" customHeight="1">
      <c r="A794" s="28"/>
      <c r="B794" s="28"/>
      <c r="C794" s="28"/>
    </row>
    <row r="795" ht="15.75" customHeight="1">
      <c r="A795" s="28"/>
      <c r="B795" s="28"/>
      <c r="C795" s="28"/>
    </row>
    <row r="796" ht="15.75" customHeight="1">
      <c r="A796" s="28"/>
      <c r="B796" s="28"/>
      <c r="C796" s="28"/>
    </row>
    <row r="797" ht="15.75" customHeight="1">
      <c r="A797" s="28"/>
      <c r="B797" s="28"/>
      <c r="C797" s="28"/>
    </row>
    <row r="798" ht="15.75" customHeight="1">
      <c r="A798" s="28"/>
      <c r="B798" s="28"/>
      <c r="C798" s="28"/>
    </row>
    <row r="799" ht="15.75" customHeight="1">
      <c r="A799" s="28"/>
      <c r="B799" s="28"/>
      <c r="C799" s="28"/>
    </row>
    <row r="800" ht="15.75" customHeight="1">
      <c r="A800" s="28"/>
      <c r="B800" s="28"/>
      <c r="C800" s="28"/>
    </row>
    <row r="801" ht="15.75" customHeight="1">
      <c r="A801" s="28"/>
      <c r="B801" s="28"/>
      <c r="C801" s="28"/>
    </row>
    <row r="802" ht="15.75" customHeight="1">
      <c r="A802" s="28"/>
      <c r="B802" s="28"/>
      <c r="C802" s="28"/>
    </row>
    <row r="803" ht="15.75" customHeight="1">
      <c r="A803" s="28"/>
      <c r="B803" s="28"/>
      <c r="C803" s="28"/>
    </row>
    <row r="804" ht="15.75" customHeight="1">
      <c r="A804" s="28"/>
      <c r="B804" s="28"/>
      <c r="C804" s="28"/>
    </row>
    <row r="805" ht="15.75" customHeight="1">
      <c r="A805" s="28"/>
      <c r="B805" s="28"/>
      <c r="C805" s="28"/>
    </row>
    <row r="806" ht="15.75" customHeight="1">
      <c r="A806" s="28"/>
      <c r="B806" s="28"/>
      <c r="C806" s="28"/>
    </row>
    <row r="807" ht="15.75" customHeight="1">
      <c r="A807" s="28"/>
      <c r="B807" s="28"/>
      <c r="C807" s="28"/>
    </row>
    <row r="808" ht="15.75" customHeight="1">
      <c r="A808" s="28"/>
      <c r="B808" s="28"/>
      <c r="C808" s="28"/>
    </row>
    <row r="809" ht="15.75" customHeight="1">
      <c r="A809" s="28"/>
      <c r="B809" s="28"/>
      <c r="C809" s="28"/>
    </row>
    <row r="810" ht="15.75" customHeight="1">
      <c r="A810" s="28"/>
      <c r="B810" s="28"/>
      <c r="C810" s="28"/>
    </row>
    <row r="811" ht="15.75" customHeight="1">
      <c r="A811" s="28"/>
      <c r="B811" s="28"/>
      <c r="C811" s="28"/>
    </row>
    <row r="812" ht="15.75" customHeight="1">
      <c r="A812" s="28"/>
      <c r="B812" s="28"/>
      <c r="C812" s="28"/>
    </row>
    <row r="813" ht="15.75" customHeight="1">
      <c r="A813" s="28"/>
      <c r="B813" s="28"/>
      <c r="C813" s="28"/>
    </row>
    <row r="814" ht="15.75" customHeight="1">
      <c r="A814" s="28"/>
      <c r="B814" s="28"/>
      <c r="C814" s="28"/>
    </row>
    <row r="815" ht="15.75" customHeight="1">
      <c r="A815" s="28"/>
      <c r="B815" s="28"/>
      <c r="C815" s="28"/>
    </row>
    <row r="816" ht="15.75" customHeight="1">
      <c r="A816" s="28"/>
      <c r="B816" s="28"/>
      <c r="C816" s="28"/>
    </row>
    <row r="817" ht="15.75" customHeight="1">
      <c r="A817" s="28"/>
      <c r="B817" s="28"/>
      <c r="C817" s="28"/>
    </row>
    <row r="818" ht="15.75" customHeight="1">
      <c r="A818" s="28"/>
      <c r="B818" s="28"/>
      <c r="C818" s="28"/>
    </row>
    <row r="819" ht="15.75" customHeight="1">
      <c r="A819" s="28"/>
      <c r="B819" s="28"/>
      <c r="C819" s="28"/>
    </row>
    <row r="820" ht="15.75" customHeight="1">
      <c r="A820" s="28"/>
      <c r="B820" s="28"/>
      <c r="C820" s="28"/>
    </row>
    <row r="821" ht="15.75" customHeight="1">
      <c r="A821" s="28"/>
      <c r="B821" s="28"/>
      <c r="C821" s="28"/>
    </row>
    <row r="822" ht="15.75" customHeight="1">
      <c r="A822" s="28"/>
      <c r="B822" s="28"/>
      <c r="C822" s="28"/>
    </row>
    <row r="823" ht="15.75" customHeight="1">
      <c r="A823" s="28"/>
      <c r="B823" s="28"/>
      <c r="C823" s="28"/>
    </row>
    <row r="824" ht="15.75" customHeight="1">
      <c r="A824" s="28"/>
      <c r="B824" s="28"/>
      <c r="C824" s="28"/>
    </row>
    <row r="825" ht="15.75" customHeight="1">
      <c r="A825" s="28"/>
      <c r="B825" s="28"/>
      <c r="C825" s="28"/>
    </row>
    <row r="826" ht="15.75" customHeight="1">
      <c r="A826" s="28"/>
      <c r="B826" s="28"/>
      <c r="C826" s="28"/>
    </row>
    <row r="827" ht="15.75" customHeight="1">
      <c r="A827" s="28"/>
      <c r="B827" s="28"/>
      <c r="C827" s="28"/>
    </row>
    <row r="828" ht="15.75" customHeight="1">
      <c r="A828" s="28"/>
      <c r="B828" s="28"/>
      <c r="C828" s="28"/>
    </row>
    <row r="829" ht="15.75" customHeight="1">
      <c r="A829" s="28"/>
      <c r="B829" s="28"/>
      <c r="C829" s="28"/>
    </row>
    <row r="830" ht="15.75" customHeight="1">
      <c r="A830" s="28"/>
      <c r="B830" s="28"/>
      <c r="C830" s="28"/>
    </row>
    <row r="831" ht="15.75" customHeight="1">
      <c r="A831" s="28"/>
      <c r="B831" s="28"/>
      <c r="C831" s="28"/>
    </row>
    <row r="832" ht="15.75" customHeight="1">
      <c r="A832" s="28"/>
      <c r="B832" s="28"/>
      <c r="C832" s="28"/>
    </row>
    <row r="833" ht="15.75" customHeight="1">
      <c r="A833" s="28"/>
      <c r="B833" s="28"/>
      <c r="C833" s="28"/>
    </row>
    <row r="834" ht="15.75" customHeight="1">
      <c r="A834" s="28"/>
      <c r="B834" s="28"/>
      <c r="C834" s="28"/>
    </row>
    <row r="835" ht="15.75" customHeight="1">
      <c r="A835" s="28"/>
      <c r="B835" s="28"/>
      <c r="C835" s="28"/>
    </row>
    <row r="836" ht="15.75" customHeight="1">
      <c r="A836" s="28"/>
      <c r="B836" s="28"/>
      <c r="C836" s="28"/>
    </row>
    <row r="837" ht="15.75" customHeight="1">
      <c r="A837" s="28"/>
      <c r="B837" s="28"/>
      <c r="C837" s="28"/>
    </row>
    <row r="838" ht="15.75" customHeight="1">
      <c r="A838" s="28"/>
      <c r="B838" s="28"/>
      <c r="C838" s="28"/>
    </row>
    <row r="839" ht="15.75" customHeight="1">
      <c r="A839" s="28"/>
      <c r="B839" s="28"/>
      <c r="C839" s="28"/>
    </row>
    <row r="840" ht="15.75" customHeight="1">
      <c r="A840" s="28"/>
      <c r="B840" s="28"/>
      <c r="C840" s="28"/>
    </row>
    <row r="841" ht="15.75" customHeight="1">
      <c r="A841" s="28"/>
      <c r="B841" s="28"/>
      <c r="C841" s="28"/>
    </row>
    <row r="842" ht="15.75" customHeight="1">
      <c r="A842" s="28"/>
      <c r="B842" s="28"/>
      <c r="C842" s="28"/>
    </row>
    <row r="843" ht="15.75" customHeight="1">
      <c r="A843" s="28"/>
      <c r="B843" s="28"/>
      <c r="C843" s="28"/>
    </row>
    <row r="844" ht="15.75" customHeight="1">
      <c r="A844" s="28"/>
      <c r="B844" s="28"/>
      <c r="C844" s="28"/>
    </row>
    <row r="845" ht="15.75" customHeight="1">
      <c r="A845" s="28"/>
      <c r="B845" s="28"/>
      <c r="C845" s="28"/>
    </row>
    <row r="846" ht="15.75" customHeight="1">
      <c r="A846" s="28"/>
      <c r="B846" s="28"/>
      <c r="C846" s="28"/>
    </row>
    <row r="847" ht="15.75" customHeight="1">
      <c r="A847" s="28"/>
      <c r="B847" s="28"/>
      <c r="C847" s="28"/>
    </row>
    <row r="848" ht="15.75" customHeight="1">
      <c r="A848" s="28"/>
      <c r="B848" s="28"/>
      <c r="C848" s="28"/>
    </row>
    <row r="849" ht="15.75" customHeight="1">
      <c r="A849" s="28"/>
      <c r="B849" s="28"/>
      <c r="C849" s="28"/>
    </row>
    <row r="850" ht="15.75" customHeight="1">
      <c r="A850" s="28"/>
      <c r="B850" s="28"/>
      <c r="C850" s="28"/>
    </row>
    <row r="851" ht="15.75" customHeight="1">
      <c r="A851" s="28"/>
      <c r="B851" s="28"/>
      <c r="C851" s="28"/>
    </row>
    <row r="852" ht="15.75" customHeight="1">
      <c r="A852" s="28"/>
      <c r="B852" s="28"/>
      <c r="C852" s="28"/>
    </row>
    <row r="853" ht="15.75" customHeight="1">
      <c r="A853" s="28"/>
      <c r="B853" s="28"/>
      <c r="C853" s="28"/>
    </row>
    <row r="854" ht="15.75" customHeight="1">
      <c r="A854" s="28"/>
      <c r="B854" s="28"/>
      <c r="C854" s="28"/>
    </row>
    <row r="855" ht="15.75" customHeight="1">
      <c r="A855" s="28"/>
      <c r="B855" s="28"/>
      <c r="C855" s="28"/>
    </row>
    <row r="856" ht="15.75" customHeight="1">
      <c r="A856" s="28"/>
      <c r="B856" s="28"/>
      <c r="C856" s="28"/>
    </row>
    <row r="857" ht="15.75" customHeight="1">
      <c r="A857" s="28"/>
      <c r="B857" s="28"/>
      <c r="C857" s="28"/>
    </row>
    <row r="858" ht="15.75" customHeight="1">
      <c r="A858" s="28"/>
      <c r="B858" s="28"/>
      <c r="C858" s="28"/>
    </row>
    <row r="859" ht="15.75" customHeight="1">
      <c r="A859" s="28"/>
      <c r="B859" s="28"/>
      <c r="C859" s="28"/>
    </row>
    <row r="860" ht="15.75" customHeight="1">
      <c r="A860" s="28"/>
      <c r="B860" s="28"/>
      <c r="C860" s="28"/>
    </row>
    <row r="861" ht="15.75" customHeight="1">
      <c r="A861" s="28"/>
      <c r="B861" s="28"/>
      <c r="C861" s="28"/>
    </row>
    <row r="862" ht="15.75" customHeight="1">
      <c r="A862" s="28"/>
      <c r="B862" s="28"/>
      <c r="C862" s="28"/>
    </row>
    <row r="863" ht="15.75" customHeight="1">
      <c r="A863" s="28"/>
      <c r="B863" s="28"/>
      <c r="C863" s="28"/>
    </row>
    <row r="864" ht="15.75" customHeight="1">
      <c r="A864" s="28"/>
      <c r="B864" s="28"/>
      <c r="C864" s="28"/>
    </row>
    <row r="865" ht="15.75" customHeight="1">
      <c r="A865" s="28"/>
      <c r="B865" s="28"/>
      <c r="C865" s="28"/>
    </row>
    <row r="866" ht="15.75" customHeight="1">
      <c r="A866" s="28"/>
      <c r="B866" s="28"/>
      <c r="C866" s="28"/>
    </row>
    <row r="867" ht="15.75" customHeight="1">
      <c r="A867" s="28"/>
      <c r="B867" s="28"/>
      <c r="C867" s="28"/>
    </row>
    <row r="868" ht="15.75" customHeight="1">
      <c r="A868" s="28"/>
      <c r="B868" s="28"/>
      <c r="C868" s="28"/>
    </row>
    <row r="869" ht="15.75" customHeight="1">
      <c r="A869" s="28"/>
      <c r="B869" s="28"/>
      <c r="C869" s="28"/>
    </row>
    <row r="870" ht="15.75" customHeight="1">
      <c r="A870" s="28"/>
      <c r="B870" s="28"/>
      <c r="C870" s="28"/>
    </row>
    <row r="871" ht="15.75" customHeight="1">
      <c r="A871" s="28"/>
      <c r="B871" s="28"/>
      <c r="C871" s="28"/>
    </row>
    <row r="872" ht="15.75" customHeight="1">
      <c r="A872" s="28"/>
      <c r="B872" s="28"/>
      <c r="C872" s="28"/>
    </row>
    <row r="873" ht="15.75" customHeight="1">
      <c r="A873" s="28"/>
      <c r="B873" s="28"/>
      <c r="C873" s="28"/>
    </row>
    <row r="874" ht="15.75" customHeight="1">
      <c r="A874" s="28"/>
      <c r="B874" s="28"/>
      <c r="C874" s="28"/>
    </row>
    <row r="875" ht="15.75" customHeight="1">
      <c r="A875" s="28"/>
      <c r="B875" s="28"/>
      <c r="C875" s="28"/>
    </row>
    <row r="876" ht="15.75" customHeight="1">
      <c r="A876" s="28"/>
      <c r="B876" s="28"/>
      <c r="C876" s="28"/>
    </row>
    <row r="877" ht="15.75" customHeight="1">
      <c r="A877" s="28"/>
      <c r="B877" s="28"/>
      <c r="C877" s="28"/>
    </row>
    <row r="878" ht="15.75" customHeight="1">
      <c r="A878" s="28"/>
      <c r="B878" s="28"/>
      <c r="C878" s="28"/>
    </row>
    <row r="879" ht="15.75" customHeight="1">
      <c r="A879" s="28"/>
      <c r="B879" s="28"/>
      <c r="C879" s="28"/>
    </row>
    <row r="880" ht="15.75" customHeight="1">
      <c r="A880" s="28"/>
      <c r="B880" s="28"/>
      <c r="C880" s="28"/>
    </row>
    <row r="881" ht="15.75" customHeight="1">
      <c r="A881" s="28"/>
      <c r="B881" s="28"/>
      <c r="C881" s="28"/>
    </row>
    <row r="882" ht="15.75" customHeight="1">
      <c r="A882" s="28"/>
      <c r="B882" s="28"/>
      <c r="C882" s="28"/>
    </row>
    <row r="883" ht="15.75" customHeight="1">
      <c r="A883" s="28"/>
      <c r="B883" s="28"/>
      <c r="C883" s="28"/>
    </row>
    <row r="884" ht="15.75" customHeight="1">
      <c r="A884" s="28"/>
      <c r="B884" s="28"/>
      <c r="C884" s="28"/>
    </row>
    <row r="885" ht="15.75" customHeight="1">
      <c r="A885" s="28"/>
      <c r="B885" s="28"/>
      <c r="C885" s="28"/>
    </row>
    <row r="886" ht="15.75" customHeight="1">
      <c r="A886" s="28"/>
      <c r="B886" s="28"/>
      <c r="C886" s="28"/>
    </row>
    <row r="887" ht="15.75" customHeight="1">
      <c r="A887" s="28"/>
      <c r="B887" s="28"/>
      <c r="C887" s="28"/>
    </row>
    <row r="888" ht="15.75" customHeight="1">
      <c r="A888" s="28"/>
      <c r="B888" s="28"/>
      <c r="C888" s="28"/>
    </row>
    <row r="889" ht="15.75" customHeight="1">
      <c r="A889" s="28"/>
      <c r="B889" s="28"/>
      <c r="C889" s="28"/>
    </row>
    <row r="890" ht="15.75" customHeight="1">
      <c r="A890" s="28"/>
      <c r="B890" s="28"/>
      <c r="C890" s="28"/>
    </row>
    <row r="891" ht="15.75" customHeight="1">
      <c r="A891" s="28"/>
      <c r="B891" s="28"/>
      <c r="C891" s="28"/>
    </row>
    <row r="892" ht="15.75" customHeight="1">
      <c r="A892" s="28"/>
      <c r="B892" s="28"/>
      <c r="C892" s="28"/>
    </row>
    <row r="893" ht="15.75" customHeight="1">
      <c r="A893" s="28"/>
      <c r="B893" s="28"/>
      <c r="C893" s="28"/>
    </row>
    <row r="894" ht="15.75" customHeight="1">
      <c r="A894" s="28"/>
      <c r="B894" s="28"/>
      <c r="C894" s="28"/>
    </row>
    <row r="895" ht="15.75" customHeight="1">
      <c r="A895" s="28"/>
      <c r="B895" s="28"/>
      <c r="C895" s="28"/>
    </row>
    <row r="896" ht="15.75" customHeight="1">
      <c r="A896" s="28"/>
      <c r="B896" s="28"/>
      <c r="C896" s="28"/>
    </row>
    <row r="897" ht="15.75" customHeight="1">
      <c r="A897" s="28"/>
      <c r="B897" s="28"/>
      <c r="C897" s="28"/>
    </row>
    <row r="898" ht="15.75" customHeight="1">
      <c r="A898" s="28"/>
      <c r="B898" s="28"/>
      <c r="C898" s="28"/>
    </row>
    <row r="899" ht="15.75" customHeight="1">
      <c r="A899" s="28"/>
      <c r="B899" s="28"/>
      <c r="C899" s="28"/>
    </row>
    <row r="900" ht="15.75" customHeight="1">
      <c r="A900" s="28"/>
      <c r="B900" s="28"/>
      <c r="C900" s="28"/>
    </row>
    <row r="901" ht="15.75" customHeight="1">
      <c r="A901" s="28"/>
      <c r="B901" s="28"/>
      <c r="C901" s="28"/>
    </row>
    <row r="902" ht="15.75" customHeight="1">
      <c r="A902" s="28"/>
      <c r="B902" s="28"/>
      <c r="C902" s="28"/>
    </row>
    <row r="903" ht="15.75" customHeight="1">
      <c r="A903" s="28"/>
      <c r="B903" s="28"/>
      <c r="C903" s="28"/>
    </row>
    <row r="904" ht="15.75" customHeight="1">
      <c r="A904" s="28"/>
      <c r="B904" s="28"/>
      <c r="C904" s="28"/>
    </row>
    <row r="905" ht="15.75" customHeight="1">
      <c r="A905" s="28"/>
      <c r="B905" s="28"/>
      <c r="C905" s="28"/>
    </row>
    <row r="906" ht="15.75" customHeight="1">
      <c r="A906" s="28"/>
      <c r="B906" s="28"/>
      <c r="C906" s="28"/>
    </row>
    <row r="907" ht="15.75" customHeight="1">
      <c r="A907" s="28"/>
      <c r="B907" s="28"/>
      <c r="C907" s="28"/>
    </row>
    <row r="908" ht="15.75" customHeight="1">
      <c r="A908" s="28"/>
      <c r="B908" s="28"/>
      <c r="C908" s="28"/>
    </row>
    <row r="909" ht="15.75" customHeight="1">
      <c r="A909" s="28"/>
      <c r="B909" s="28"/>
      <c r="C909" s="28"/>
    </row>
    <row r="910" ht="15.75" customHeight="1">
      <c r="A910" s="28"/>
      <c r="B910" s="28"/>
      <c r="C910" s="28"/>
    </row>
    <row r="911" ht="15.75" customHeight="1">
      <c r="A911" s="28"/>
      <c r="B911" s="28"/>
      <c r="C911" s="28"/>
    </row>
    <row r="912" ht="15.75" customHeight="1">
      <c r="A912" s="28"/>
      <c r="B912" s="28"/>
      <c r="C912" s="28"/>
    </row>
    <row r="913" ht="15.75" customHeight="1">
      <c r="A913" s="28"/>
      <c r="B913" s="28"/>
      <c r="C913" s="28"/>
    </row>
    <row r="914" ht="15.75" customHeight="1">
      <c r="A914" s="28"/>
      <c r="B914" s="28"/>
      <c r="C914" s="28"/>
    </row>
    <row r="915" ht="15.75" customHeight="1">
      <c r="A915" s="28"/>
      <c r="B915" s="28"/>
      <c r="C915" s="28"/>
    </row>
    <row r="916" ht="15.75" customHeight="1">
      <c r="A916" s="28"/>
      <c r="B916" s="28"/>
      <c r="C916" s="28"/>
    </row>
    <row r="917" ht="15.75" customHeight="1">
      <c r="A917" s="28"/>
      <c r="B917" s="28"/>
      <c r="C917" s="28"/>
    </row>
    <row r="918" ht="15.75" customHeight="1">
      <c r="A918" s="28"/>
      <c r="B918" s="28"/>
      <c r="C918" s="28"/>
    </row>
    <row r="919" ht="15.75" customHeight="1">
      <c r="A919" s="28"/>
      <c r="B919" s="28"/>
      <c r="C919" s="28"/>
    </row>
    <row r="920" ht="15.75" customHeight="1">
      <c r="A920" s="28"/>
      <c r="B920" s="28"/>
      <c r="C920" s="28"/>
    </row>
    <row r="921" ht="15.75" customHeight="1">
      <c r="A921" s="28"/>
      <c r="B921" s="28"/>
      <c r="C921" s="28"/>
    </row>
    <row r="922" ht="15.75" customHeight="1">
      <c r="A922" s="28"/>
      <c r="B922" s="28"/>
      <c r="C922" s="28"/>
    </row>
    <row r="923" ht="15.75" customHeight="1">
      <c r="A923" s="28"/>
      <c r="B923" s="28"/>
      <c r="C923" s="28"/>
    </row>
    <row r="924" ht="15.75" customHeight="1">
      <c r="A924" s="28"/>
      <c r="B924" s="28"/>
      <c r="C924" s="28"/>
    </row>
    <row r="925" ht="15.75" customHeight="1">
      <c r="A925" s="28"/>
      <c r="B925" s="28"/>
      <c r="C925" s="28"/>
    </row>
    <row r="926" ht="15.75" customHeight="1">
      <c r="A926" s="28"/>
      <c r="B926" s="28"/>
      <c r="C926" s="28"/>
    </row>
    <row r="927" ht="15.75" customHeight="1">
      <c r="A927" s="28"/>
      <c r="B927" s="28"/>
      <c r="C927" s="28"/>
    </row>
    <row r="928" ht="15.75" customHeight="1">
      <c r="A928" s="28"/>
      <c r="B928" s="28"/>
      <c r="C928" s="28"/>
    </row>
    <row r="929" ht="15.75" customHeight="1">
      <c r="A929" s="28"/>
      <c r="B929" s="28"/>
      <c r="C929" s="28"/>
    </row>
    <row r="930" ht="15.75" customHeight="1">
      <c r="A930" s="28"/>
      <c r="B930" s="28"/>
      <c r="C930" s="28"/>
    </row>
    <row r="931" ht="15.75" customHeight="1">
      <c r="A931" s="28"/>
      <c r="B931" s="28"/>
      <c r="C931" s="28"/>
    </row>
    <row r="932" ht="15.75" customHeight="1">
      <c r="A932" s="28"/>
      <c r="B932" s="28"/>
      <c r="C932" s="28"/>
    </row>
    <row r="933" ht="15.75" customHeight="1">
      <c r="A933" s="28"/>
      <c r="B933" s="28"/>
      <c r="C933" s="28"/>
    </row>
    <row r="934" ht="15.75" customHeight="1">
      <c r="A934" s="28"/>
      <c r="B934" s="28"/>
      <c r="C934" s="28"/>
    </row>
    <row r="935" ht="15.75" customHeight="1">
      <c r="A935" s="28"/>
      <c r="B935" s="28"/>
      <c r="C935" s="28"/>
    </row>
    <row r="936" ht="15.75" customHeight="1">
      <c r="A936" s="28"/>
      <c r="B936" s="28"/>
      <c r="C936" s="28"/>
    </row>
    <row r="937" ht="15.75" customHeight="1">
      <c r="A937" s="28"/>
      <c r="B937" s="28"/>
      <c r="C937" s="28"/>
    </row>
    <row r="938" ht="15.75" customHeight="1">
      <c r="A938" s="28"/>
      <c r="B938" s="28"/>
      <c r="C938" s="28"/>
    </row>
    <row r="939" ht="15.75" customHeight="1">
      <c r="A939" s="28"/>
      <c r="B939" s="28"/>
      <c r="C939" s="28"/>
    </row>
    <row r="940" ht="15.75" customHeight="1">
      <c r="A940" s="28"/>
      <c r="B940" s="28"/>
      <c r="C940" s="28"/>
    </row>
    <row r="941" ht="15.75" customHeight="1">
      <c r="A941" s="28"/>
      <c r="B941" s="28"/>
      <c r="C941" s="28"/>
    </row>
    <row r="942" ht="15.75" customHeight="1">
      <c r="A942" s="28"/>
      <c r="B942" s="28"/>
      <c r="C942" s="28"/>
    </row>
    <row r="943" ht="15.75" customHeight="1">
      <c r="A943" s="28"/>
      <c r="B943" s="28"/>
      <c r="C943" s="28"/>
    </row>
    <row r="944" ht="15.75" customHeight="1">
      <c r="A944" s="28"/>
      <c r="B944" s="28"/>
      <c r="C944" s="28"/>
    </row>
    <row r="945" ht="15.75" customHeight="1">
      <c r="A945" s="28"/>
      <c r="B945" s="28"/>
      <c r="C945" s="28"/>
    </row>
    <row r="946" ht="15.75" customHeight="1">
      <c r="A946" s="28"/>
      <c r="B946" s="28"/>
      <c r="C946" s="28"/>
    </row>
    <row r="947" ht="15.75" customHeight="1">
      <c r="A947" s="28"/>
      <c r="B947" s="28"/>
      <c r="C947" s="28"/>
    </row>
    <row r="948" ht="15.75" customHeight="1">
      <c r="A948" s="28"/>
      <c r="B948" s="28"/>
      <c r="C948" s="28"/>
    </row>
    <row r="949" ht="15.75" customHeight="1">
      <c r="A949" s="28"/>
      <c r="B949" s="28"/>
      <c r="C949" s="28"/>
    </row>
    <row r="950" ht="15.75" customHeight="1">
      <c r="A950" s="28"/>
      <c r="B950" s="28"/>
      <c r="C950" s="28"/>
    </row>
    <row r="951" ht="15.75" customHeight="1">
      <c r="A951" s="28"/>
      <c r="B951" s="28"/>
      <c r="C951" s="28"/>
    </row>
    <row r="952" ht="15.75" customHeight="1">
      <c r="A952" s="28"/>
      <c r="B952" s="28"/>
      <c r="C952" s="28"/>
    </row>
    <row r="953" ht="15.75" customHeight="1">
      <c r="A953" s="28"/>
      <c r="B953" s="28"/>
      <c r="C953" s="28"/>
    </row>
    <row r="954" ht="15.75" customHeight="1">
      <c r="A954" s="28"/>
      <c r="B954" s="28"/>
      <c r="C954" s="28"/>
    </row>
    <row r="955" ht="15.75" customHeight="1">
      <c r="A955" s="28"/>
      <c r="B955" s="28"/>
      <c r="C955" s="28"/>
    </row>
    <row r="956" ht="15.75" customHeight="1">
      <c r="A956" s="28"/>
      <c r="B956" s="28"/>
      <c r="C956" s="28"/>
    </row>
    <row r="957" ht="15.75" customHeight="1">
      <c r="A957" s="28"/>
      <c r="B957" s="28"/>
      <c r="C957" s="28"/>
    </row>
    <row r="958" ht="15.75" customHeight="1">
      <c r="A958" s="28"/>
      <c r="B958" s="28"/>
      <c r="C958" s="28"/>
    </row>
    <row r="959" ht="15.75" customHeight="1">
      <c r="A959" s="28"/>
      <c r="B959" s="28"/>
      <c r="C959" s="28"/>
    </row>
    <row r="960" ht="15.75" customHeight="1">
      <c r="A960" s="28"/>
      <c r="B960" s="28"/>
      <c r="C960" s="28"/>
    </row>
    <row r="961" ht="15.75" customHeight="1">
      <c r="A961" s="28"/>
      <c r="B961" s="28"/>
      <c r="C961" s="28"/>
    </row>
    <row r="962" ht="15.75" customHeight="1">
      <c r="A962" s="28"/>
      <c r="B962" s="28"/>
      <c r="C962" s="28"/>
    </row>
    <row r="963" ht="15.75" customHeight="1">
      <c r="A963" s="28"/>
      <c r="B963" s="28"/>
      <c r="C963" s="28"/>
    </row>
    <row r="964" ht="15.75" customHeight="1">
      <c r="A964" s="28"/>
      <c r="B964" s="28"/>
      <c r="C964" s="28"/>
    </row>
    <row r="965" ht="15.75" customHeight="1">
      <c r="A965" s="28"/>
      <c r="B965" s="28"/>
      <c r="C965" s="28"/>
    </row>
    <row r="966" ht="15.75" customHeight="1">
      <c r="A966" s="28"/>
      <c r="B966" s="28"/>
      <c r="C966" s="28"/>
    </row>
    <row r="967" ht="15.75" customHeight="1">
      <c r="A967" s="28"/>
      <c r="B967" s="28"/>
      <c r="C967" s="28"/>
    </row>
    <row r="968" ht="15.75" customHeight="1">
      <c r="A968" s="28"/>
      <c r="B968" s="28"/>
      <c r="C968" s="28"/>
    </row>
    <row r="969" ht="15.75" customHeight="1">
      <c r="A969" s="28"/>
      <c r="B969" s="28"/>
      <c r="C969" s="28"/>
    </row>
    <row r="970" ht="15.75" customHeight="1">
      <c r="A970" s="28"/>
      <c r="B970" s="28"/>
      <c r="C970" s="28"/>
    </row>
    <row r="971" ht="15.75" customHeight="1">
      <c r="A971" s="28"/>
      <c r="B971" s="28"/>
      <c r="C971" s="28"/>
    </row>
    <row r="972" ht="15.75" customHeight="1">
      <c r="A972" s="28"/>
      <c r="B972" s="28"/>
      <c r="C972" s="28"/>
    </row>
    <row r="973" ht="15.75" customHeight="1">
      <c r="A973" s="28"/>
      <c r="B973" s="28"/>
      <c r="C973" s="28"/>
    </row>
    <row r="974" ht="15.75" customHeight="1">
      <c r="A974" s="28"/>
      <c r="B974" s="28"/>
      <c r="C974" s="28"/>
    </row>
    <row r="975" ht="15.75" customHeight="1">
      <c r="A975" s="28"/>
      <c r="B975" s="28"/>
      <c r="C975" s="28"/>
    </row>
    <row r="976" ht="15.75" customHeight="1">
      <c r="A976" s="28"/>
      <c r="B976" s="28"/>
      <c r="C976" s="28"/>
    </row>
    <row r="977" ht="15.75" customHeight="1">
      <c r="A977" s="28"/>
      <c r="B977" s="28"/>
      <c r="C977" s="28"/>
    </row>
    <row r="978" ht="15.75" customHeight="1">
      <c r="A978" s="28"/>
      <c r="B978" s="28"/>
      <c r="C978" s="28"/>
    </row>
    <row r="979" ht="15.75" customHeight="1">
      <c r="A979" s="28"/>
      <c r="B979" s="28"/>
      <c r="C979" s="28"/>
    </row>
    <row r="980" ht="15.75" customHeight="1">
      <c r="A980" s="28"/>
      <c r="B980" s="28"/>
      <c r="C980" s="28"/>
    </row>
    <row r="981" ht="15.75" customHeight="1">
      <c r="A981" s="28"/>
      <c r="B981" s="28"/>
      <c r="C981" s="28"/>
    </row>
    <row r="982" ht="15.75" customHeight="1">
      <c r="A982" s="28"/>
      <c r="B982" s="28"/>
      <c r="C982" s="28"/>
    </row>
    <row r="983" ht="15.75" customHeight="1">
      <c r="A983" s="28"/>
      <c r="B983" s="28"/>
      <c r="C983" s="28"/>
    </row>
    <row r="984" ht="15.75" customHeight="1">
      <c r="A984" s="28"/>
      <c r="B984" s="28"/>
      <c r="C984" s="28"/>
    </row>
    <row r="985" ht="15.75" customHeight="1">
      <c r="A985" s="28"/>
      <c r="B985" s="28"/>
      <c r="C985" s="28"/>
    </row>
    <row r="986" ht="15.75" customHeight="1">
      <c r="A986" s="28"/>
      <c r="B986" s="28"/>
      <c r="C986" s="28"/>
    </row>
    <row r="987" ht="15.75" customHeight="1">
      <c r="A987" s="28"/>
      <c r="B987" s="28"/>
      <c r="C987" s="28"/>
    </row>
    <row r="988" ht="15.75" customHeight="1">
      <c r="A988" s="28"/>
      <c r="B988" s="28"/>
      <c r="C988" s="28"/>
    </row>
    <row r="989" ht="15.75" customHeight="1">
      <c r="A989" s="28"/>
      <c r="B989" s="28"/>
      <c r="C989" s="28"/>
    </row>
    <row r="990" ht="15.75" customHeight="1">
      <c r="A990" s="28"/>
      <c r="B990" s="28"/>
      <c r="C990" s="28"/>
    </row>
    <row r="991" ht="15.75" customHeight="1">
      <c r="A991" s="28"/>
      <c r="B991" s="28"/>
      <c r="C991" s="28"/>
    </row>
    <row r="992" ht="15.75" customHeight="1">
      <c r="A992" s="28"/>
      <c r="B992" s="28"/>
      <c r="C992" s="28"/>
    </row>
    <row r="993" ht="15.75" customHeight="1">
      <c r="A993" s="28"/>
      <c r="B993" s="28"/>
      <c r="C993" s="28"/>
    </row>
    <row r="994" ht="15.75" customHeight="1">
      <c r="A994" s="28"/>
      <c r="B994" s="28"/>
      <c r="C994" s="28"/>
    </row>
    <row r="995" ht="15.75" customHeight="1">
      <c r="A995" s="28"/>
      <c r="B995" s="28"/>
      <c r="C995" s="28"/>
    </row>
    <row r="996" ht="15.75" customHeight="1">
      <c r="A996" s="28"/>
      <c r="B996" s="28"/>
      <c r="C996" s="28"/>
    </row>
    <row r="997" ht="15.75" customHeight="1">
      <c r="A997" s="28"/>
      <c r="B997" s="28"/>
      <c r="C997" s="28"/>
    </row>
    <row r="998" ht="15.75" customHeight="1">
      <c r="A998" s="28"/>
      <c r="B998" s="28"/>
      <c r="C998" s="28"/>
    </row>
    <row r="999" ht="15.75" customHeight="1">
      <c r="A999" s="28"/>
      <c r="B999" s="28"/>
      <c r="C999" s="28"/>
    </row>
    <row r="1000" ht="15.75" customHeight="1">
      <c r="A1000" s="28"/>
      <c r="B1000" s="28"/>
      <c r="C1000" s="28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